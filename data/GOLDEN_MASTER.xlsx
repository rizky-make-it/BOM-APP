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640" tabRatio="600" firstSheet="1" activeTab="1" autoFilterDateGrouping="1"/>
  </bookViews>
  <sheets>
    <sheet name="README" sheetId="1" state="visible" r:id="rId1"/>
    <sheet name="ITEMS" sheetId="2" state="visible" r:id="rId2"/>
    <sheet name="TEMPLATE" sheetId="3" state="visible" r:id="rId3"/>
    <sheet name="RATES" sheetId="4" state="visible" r:id="rId4"/>
    <sheet name="LISTS" sheetId="5" state="visible" r:id="rId5"/>
    <sheet name="LV453-B61" sheetId="6" state="visible" r:id="rId6"/>
    <sheet name="PART LIST REFERENCE" sheetId="7" state="visible" r:id="rId7"/>
  </sheets>
  <definedNames/>
  <calcPr calcId="191029" fullCalcOnLoad="1"/>
</workbook>
</file>

<file path=xl/styles.xml><?xml version="1.0" encoding="utf-8"?>
<styleSheet xmlns="http://schemas.openxmlformats.org/spreadsheetml/2006/main">
  <numFmts count="8">
    <numFmt numFmtId="164" formatCode="#,##0;\(#,##0\);&quot;-&quot;"/>
    <numFmt numFmtId="165" formatCode="0.000"/>
    <numFmt numFmtId="166" formatCode="0.0000"/>
    <numFmt numFmtId="167" formatCode="0.00000"/>
    <numFmt numFmtId="168" formatCode="#,##0.0"/>
    <numFmt numFmtId="169" formatCode="0.0%"/>
    <numFmt numFmtId="170" formatCode="[$Rp]#,##0"/>
    <numFmt numFmtId="171" formatCode="&quot;$&quot;#,##0.00"/>
  </numFmts>
  <fonts count="22">
    <font>
      <name val="Calibri"/>
      <color theme="1"/>
      <sz val="11"/>
      <scheme val="minor"/>
    </font>
    <font>
      <name val="Arial"/>
      <family val="2"/>
      <b val="1"/>
      <color theme="1"/>
      <sz val="12"/>
    </font>
    <font>
      <name val="Arial"/>
      <family val="2"/>
      <color theme="1"/>
      <sz val="10"/>
    </font>
    <font>
      <name val="Arial"/>
      <family val="2"/>
      <b val="1"/>
      <color theme="1"/>
      <sz val="10"/>
    </font>
    <font>
      <name val="Calibri"/>
      <family val="2"/>
      <color theme="1"/>
      <sz val="11"/>
    </font>
    <font>
      <name val="Calibri"/>
      <family val="2"/>
      <sz val="11"/>
    </font>
    <font>
      <name val="Arial"/>
      <family val="2"/>
      <color rgb="FF0000FF"/>
      <sz val="10"/>
    </font>
    <font>
      <name val="Arial"/>
      <family val="2"/>
      <b val="1"/>
      <color rgb="FFFFFFFF"/>
      <sz val="10"/>
    </font>
    <font>
      <name val="Arial"/>
      <family val="2"/>
      <b val="1"/>
      <color rgb="FFFFFFFF"/>
      <sz val="10"/>
    </font>
    <font>
      <name val="Arial"/>
      <b val="1"/>
      <color rgb="00171513"/>
      <sz val="14"/>
    </font>
    <font>
      <name val="Arial"/>
      <i val="1"/>
      <color rgb="005E5953"/>
      <sz val="10"/>
    </font>
    <font>
      <name val="Arial"/>
      <b val="1"/>
      <color rgb="00FFFFFF"/>
      <sz val="11"/>
    </font>
    <font>
      <name val="Arial"/>
      <b val="1"/>
      <color theme="1"/>
      <sz val="12"/>
    </font>
    <font>
      <name val="Arial"/>
      <color theme="1"/>
      <sz val="10"/>
    </font>
    <font>
      <name val="Arial"/>
      <b val="1"/>
      <color theme="1"/>
      <sz val="10"/>
    </font>
    <font>
      <name val="Arial"/>
      <b val="1"/>
      <color rgb="FFFFFFFF"/>
      <sz val="10"/>
    </font>
    <font>
      <name val="Calibri"/>
      <b val="1"/>
      <color theme="1"/>
      <sz val="11"/>
    </font>
    <font>
      <name val="Arial"/>
      <color rgb="FF0000FF"/>
      <sz val="10"/>
    </font>
    <font>
      <name val="Calibri"/>
      <color theme="1"/>
      <sz val="11"/>
    </font>
    <font>
      <b val="1"/>
      <color rgb="001F3A5F"/>
    </font>
    <font>
      <b val="1"/>
      <color rgb="00FFFFFF"/>
    </font>
    <font>
      <name val="Calibri"/>
      <color rgb="000000FF"/>
      <sz val="11"/>
      <scheme val="minor"/>
    </font>
  </fonts>
  <fills count="11">
    <fill>
      <patternFill/>
    </fill>
    <fill>
      <patternFill patternType="gray125"/>
    </fill>
    <fill>
      <patternFill patternType="solid">
        <fgColor rgb="FFF2F2F2"/>
        <bgColor rgb="FFF2F2F2"/>
      </patternFill>
    </fill>
    <fill>
      <patternFill patternType="solid">
        <fgColor rgb="FFDDEBF7"/>
        <bgColor rgb="FFDDEBF7"/>
      </patternFill>
    </fill>
    <fill>
      <patternFill patternType="solid">
        <fgColor rgb="FFFFF2CC"/>
        <bgColor rgb="FFFFF2CC"/>
      </patternFill>
    </fill>
    <fill>
      <patternFill patternType="solid">
        <fgColor rgb="FF1F3864"/>
        <bgColor rgb="FF1F3864"/>
      </patternFill>
    </fill>
    <fill>
      <patternFill patternType="solid">
        <fgColor rgb="FFEDEDED"/>
        <bgColor rgb="FFEDEDED"/>
      </patternFill>
    </fill>
    <fill>
      <patternFill patternType="solid">
        <fgColor rgb="FFD9E1F2"/>
        <bgColor rgb="FFD9E1F2"/>
      </patternFill>
    </fill>
    <fill>
      <patternFill patternType="solid">
        <fgColor rgb="002B180D"/>
        <bgColor rgb="002B180D"/>
      </patternFill>
    </fill>
    <fill>
      <patternFill patternType="solid">
        <fgColor rgb="00DDE5EE"/>
      </patternFill>
    </fill>
    <fill>
      <patternFill patternType="solid">
        <fgColor rgb="001F3A5F"/>
      </patternFill>
    </fill>
  </fills>
  <borders count="20">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BFBFBF"/>
      </top>
      <bottom/>
      <diagonal/>
    </border>
    <border>
      <left/>
      <right style="thin">
        <color rgb="FFBFBFBF"/>
      </right>
      <top style="thin">
        <color rgb="FFBFBFBF"/>
      </top>
      <bottom/>
      <diagonal/>
    </border>
    <border>
      <bottom style="thin">
        <color rgb="00D0D0D0"/>
      </bottom>
    </border>
  </borders>
  <cellStyleXfs count="1">
    <xf numFmtId="0" fontId="0" fillId="0" borderId="16"/>
  </cellStyleXfs>
  <cellXfs count="140">
    <xf numFmtId="0" fontId="0" fillId="0" borderId="0" pivotButton="0" quotePrefix="0" xfId="0"/>
    <xf numFmtId="0" fontId="1" fillId="0" borderId="0" pivotButton="0" quotePrefix="0" xfId="0"/>
    <xf numFmtId="0" fontId="2" fillId="0" borderId="0" pivotButton="0" quotePrefix="0" xfId="0"/>
    <xf numFmtId="0" fontId="3" fillId="3" borderId="2" pivotButton="0" quotePrefix="0" xfId="0"/>
    <xf numFmtId="0" fontId="4" fillId="3" borderId="2" pivotButton="0" quotePrefix="0" xfId="0"/>
    <xf numFmtId="0" fontId="3" fillId="0" borderId="0" pivotButton="0" quotePrefix="0" xfId="0"/>
    <xf numFmtId="0" fontId="2" fillId="0" borderId="0" applyAlignment="1" pivotButton="0" quotePrefix="0" xfId="0">
      <alignment vertical="top" wrapText="1"/>
    </xf>
    <xf numFmtId="0" fontId="6" fillId="4" borderId="4" pivotButton="0" quotePrefix="0" xfId="0"/>
    <xf numFmtId="0" fontId="7" fillId="5" borderId="4" applyAlignment="1" pivotButton="0" quotePrefix="0" xfId="0">
      <alignment vertical="center" wrapText="1"/>
    </xf>
    <xf numFmtId="0" fontId="2" fillId="0" borderId="4" pivotButton="0" quotePrefix="0" xfId="0"/>
    <xf numFmtId="0" fontId="6" fillId="0" borderId="4" pivotButton="0" quotePrefix="0" xfId="0"/>
    <xf numFmtId="0" fontId="2" fillId="7" borderId="4" pivotButton="0" quotePrefix="0" xfId="0"/>
    <xf numFmtId="164" fontId="2" fillId="7" borderId="4" pivotButton="0" quotePrefix="0" xfId="0"/>
    <xf numFmtId="0" fontId="3" fillId="0" borderId="4" pivotButton="0" quotePrefix="0" xfId="0"/>
    <xf numFmtId="0" fontId="2" fillId="6" borderId="4" pivotButton="0" quotePrefix="0" xfId="0"/>
    <xf numFmtId="0" fontId="4" fillId="0" borderId="4" pivotButton="0" quotePrefix="0" xfId="0"/>
    <xf numFmtId="164" fontId="3" fillId="7" borderId="4" pivotButton="0" quotePrefix="0" xfId="0"/>
    <xf numFmtId="2" fontId="2" fillId="6" borderId="4" pivotButton="0" quotePrefix="0" xfId="0"/>
    <xf numFmtId="165" fontId="2" fillId="7" borderId="4" pivotButton="0" quotePrefix="0" xfId="0"/>
    <xf numFmtId="165" fontId="2" fillId="6" borderId="4" pivotButton="0" quotePrefix="0" xfId="0"/>
    <xf numFmtId="166" fontId="2" fillId="7" borderId="4" pivotButton="0" quotePrefix="0" xfId="0"/>
    <xf numFmtId="2" fontId="2" fillId="7" borderId="4" pivotButton="0" quotePrefix="0" xfId="0"/>
    <xf numFmtId="0" fontId="3" fillId="6" borderId="4" pivotButton="0" quotePrefix="0" xfId="0"/>
    <xf numFmtId="2" fontId="3" fillId="6" borderId="4" pivotButton="0" quotePrefix="0" xfId="0"/>
    <xf numFmtId="165" fontId="3" fillId="6" borderId="4" pivotButton="0" quotePrefix="0" xfId="0"/>
    <xf numFmtId="167" fontId="2" fillId="6" borderId="4" pivotButton="0" quotePrefix="0" xfId="0"/>
    <xf numFmtId="0" fontId="4" fillId="4" borderId="4" pivotButton="0" quotePrefix="0" xfId="0"/>
    <xf numFmtId="0" fontId="3" fillId="4" borderId="4" pivotButton="0" quotePrefix="0" xfId="0"/>
    <xf numFmtId="164" fontId="3" fillId="4" borderId="4" pivotButton="0" quotePrefix="0" xfId="0"/>
    <xf numFmtId="165" fontId="3" fillId="4" borderId="4" pivotButton="0" quotePrefix="0" xfId="0"/>
    <xf numFmtId="166" fontId="3" fillId="4" borderId="4" pivotButton="0" quotePrefix="0" xfId="0"/>
    <xf numFmtId="2" fontId="3" fillId="4" borderId="4" pivotButton="0" quotePrefix="0" xfId="0"/>
    <xf numFmtId="164" fontId="2" fillId="0" borderId="4" pivotButton="0" quotePrefix="0" xfId="0"/>
    <xf numFmtId="165" fontId="2" fillId="0" borderId="4" pivotButton="0" quotePrefix="0" xfId="0"/>
    <xf numFmtId="166" fontId="2" fillId="0" borderId="4" pivotButton="0" quotePrefix="0" xfId="0"/>
    <xf numFmtId="2" fontId="2" fillId="0" borderId="4" pivotButton="0" quotePrefix="0" xfId="0"/>
    <xf numFmtId="9" fontId="2" fillId="6" borderId="4" pivotButton="0" quotePrefix="0" xfId="0"/>
    <xf numFmtId="164" fontId="6" fillId="4" borderId="4" pivotButton="0" quotePrefix="0" xfId="0"/>
    <xf numFmtId="164" fontId="2" fillId="6" borderId="4" pivotButton="0" quotePrefix="0" xfId="0"/>
    <xf numFmtId="168" fontId="2" fillId="6" borderId="4" pivotButton="0" quotePrefix="0" xfId="0"/>
    <xf numFmtId="1" fontId="2" fillId="6" borderId="4" pivotButton="0" quotePrefix="0" xfId="0"/>
    <xf numFmtId="164" fontId="6" fillId="0" borderId="0" pivotButton="0" quotePrefix="0" xfId="0"/>
    <xf numFmtId="169" fontId="6" fillId="0" borderId="0" pivotButton="0" quotePrefix="0" xfId="0"/>
    <xf numFmtId="2" fontId="6" fillId="0" borderId="0" pivotButton="0" quotePrefix="0" xfId="0"/>
    <xf numFmtId="164" fontId="2" fillId="0" borderId="0" pivotButton="0" quotePrefix="0" xfId="0"/>
    <xf numFmtId="169" fontId="2" fillId="0" borderId="0" pivotButton="0" quotePrefix="0" xfId="0"/>
    <xf numFmtId="0" fontId="6" fillId="0" borderId="0" pivotButton="0" quotePrefix="0" xfId="0"/>
    <xf numFmtId="0" fontId="8" fillId="5" borderId="4" applyAlignment="1" pivotButton="0" quotePrefix="0" xfId="0">
      <alignment vertical="center" wrapText="1"/>
    </xf>
    <xf numFmtId="0" fontId="6" fillId="0" borderId="4" applyAlignment="1" pivotButton="0" quotePrefix="0" xfId="0">
      <alignment horizontal="center"/>
    </xf>
    <xf numFmtId="0" fontId="3" fillId="2" borderId="1" pivotButton="0" quotePrefix="0" xfId="0"/>
    <xf numFmtId="0" fontId="5" fillId="0" borderId="3" pivotButton="0" quotePrefix="0" xfId="0"/>
    <xf numFmtId="0" fontId="5" fillId="0" borderId="5" pivotButton="0" quotePrefix="0" xfId="0"/>
    <xf numFmtId="0" fontId="2" fillId="0" borderId="6" pivotButton="0" quotePrefix="0" xfId="0"/>
    <xf numFmtId="0" fontId="5" fillId="0" borderId="7" pivotButton="0" quotePrefix="0" xfId="0"/>
    <xf numFmtId="0" fontId="5" fillId="0" borderId="8" pivotButton="0" quotePrefix="0" xfId="0"/>
    <xf numFmtId="0" fontId="2" fillId="6" borderId="9" applyAlignment="1" pivotButton="0" quotePrefix="0" xfId="0">
      <alignment horizontal="center" vertical="center"/>
    </xf>
    <xf numFmtId="0" fontId="5" fillId="0" borderId="10" pivotButton="0" quotePrefix="0" xfId="0"/>
    <xf numFmtId="0" fontId="5" fillId="0" borderId="11" pivotButton="0" quotePrefix="0" xfId="0"/>
    <xf numFmtId="0" fontId="5" fillId="0" borderId="12" pivotButton="0" quotePrefix="0" xfId="0"/>
    <xf numFmtId="0" fontId="0" fillId="0" borderId="0" pivotButton="0" quotePrefix="0" xfId="0"/>
    <xf numFmtId="0" fontId="5" fillId="0" borderId="13" pivotButton="0" quotePrefix="0" xfId="0"/>
    <xf numFmtId="0" fontId="5" fillId="0" borderId="14" pivotButton="0" quotePrefix="0" xfId="0"/>
    <xf numFmtId="0" fontId="5" fillId="0" borderId="15" pivotButton="0" quotePrefix="0" xfId="0"/>
    <xf numFmtId="0" fontId="5" fillId="0" borderId="16" pivotButton="0" quotePrefix="0" xfId="0"/>
    <xf numFmtId="0" fontId="6" fillId="0" borderId="6" pivotButton="0" quotePrefix="0" xfId="0"/>
    <xf numFmtId="0" fontId="7" fillId="5" borderId="6" applyAlignment="1" pivotButton="0" quotePrefix="0" xfId="0">
      <alignment vertical="center" wrapText="1"/>
    </xf>
    <xf numFmtId="0" fontId="3" fillId="2" borderId="16" pivotButton="0" quotePrefix="0" xfId="0"/>
    <xf numFmtId="0" fontId="0" fillId="0" borderId="7" pivotButton="0" quotePrefix="0" xfId="0"/>
    <xf numFmtId="0" fontId="0" fillId="0" borderId="8" pivotButton="0" quotePrefix="0" xfId="0"/>
    <xf numFmtId="0" fontId="2" fillId="6" borderId="16" applyAlignment="1" pivotButton="0" quotePrefix="0" xfId="0">
      <alignment horizontal="center" vertical="center"/>
    </xf>
    <xf numFmtId="0" fontId="9" fillId="0" borderId="0" pivotButton="0" quotePrefix="0" xfId="0"/>
    <xf numFmtId="0" fontId="10" fillId="0" borderId="0" pivotButton="0" quotePrefix="0" xfId="0"/>
    <xf numFmtId="0" fontId="11" fillId="8" borderId="0" pivotButton="0" quotePrefix="0" xfId="0"/>
    <xf numFmtId="0" fontId="12" fillId="0" borderId="0"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0" fontId="15" fillId="0" borderId="0" applyAlignment="1" pivotButton="0" quotePrefix="0" xfId="0">
      <alignment vertical="center"/>
    </xf>
    <xf numFmtId="170" fontId="15" fillId="0" borderId="0" applyAlignment="1" pivotButton="0" quotePrefix="0" xfId="0">
      <alignment horizontal="right" vertical="center"/>
    </xf>
    <xf numFmtId="0" fontId="15" fillId="0" borderId="0" applyAlignment="1" pivotButton="0" quotePrefix="0" xfId="0">
      <alignment horizontal="left" vertical="center"/>
    </xf>
    <xf numFmtId="0" fontId="16" fillId="0" borderId="0" applyAlignment="1" pivotButton="0" quotePrefix="0" xfId="0">
      <alignment vertical="bottom"/>
    </xf>
    <xf numFmtId="170" fontId="17" fillId="0" borderId="0" applyAlignment="1" pivotButton="0" quotePrefix="0" xfId="0">
      <alignment horizontal="right" vertical="bottom"/>
    </xf>
    <xf numFmtId="170" fontId="13" fillId="0" borderId="0" applyAlignment="1" pivotButton="0" quotePrefix="0" xfId="0">
      <alignment horizontal="right" vertical="bottom"/>
    </xf>
    <xf numFmtId="4" fontId="18" fillId="0" borderId="0" applyAlignment="1" pivotButton="0" quotePrefix="0" xfId="0">
      <alignment vertical="bottom"/>
    </xf>
    <xf numFmtId="3" fontId="18" fillId="0" borderId="0" applyAlignment="1" pivotButton="0" quotePrefix="0" xfId="0">
      <alignment vertical="bottom"/>
    </xf>
    <xf numFmtId="0" fontId="18" fillId="0" borderId="0" applyAlignment="1" pivotButton="0" quotePrefix="0" xfId="0">
      <alignment vertical="bottom"/>
    </xf>
    <xf numFmtId="170" fontId="18" fillId="0" borderId="0" applyAlignment="1" pivotButton="0" quotePrefix="0" xfId="0">
      <alignment horizontal="right" vertical="bottom"/>
    </xf>
    <xf numFmtId="4" fontId="16" fillId="0" borderId="0" applyAlignment="1" pivotButton="0" quotePrefix="0" xfId="0">
      <alignment vertical="bottom"/>
    </xf>
    <xf numFmtId="3" fontId="16" fillId="0" borderId="0" applyAlignment="1" pivotButton="0" quotePrefix="0" xfId="0">
      <alignment vertical="bottom"/>
    </xf>
    <xf numFmtId="3" fontId="16" fillId="0" borderId="0" applyAlignment="1" pivotButton="0" quotePrefix="0" xfId="0">
      <alignment horizontal="right" vertical="bottom"/>
    </xf>
    <xf numFmtId="3" fontId="18" fillId="0" borderId="0" applyAlignment="1" pivotButton="0" quotePrefix="0" xfId="0">
      <alignment horizontal="right" vertical="bottom"/>
    </xf>
    <xf numFmtId="0" fontId="15" fillId="5" borderId="0" applyAlignment="1" pivotButton="0" quotePrefix="0" xfId="0">
      <alignment vertical="center" wrapText="1"/>
    </xf>
    <xf numFmtId="0" fontId="18" fillId="0" borderId="0" pivotButton="0" quotePrefix="0" xfId="0"/>
    <xf numFmtId="0" fontId="12" fillId="0" borderId="19" applyAlignment="1" pivotButton="0" quotePrefix="0" xfId="0">
      <alignment vertical="bottom"/>
    </xf>
    <xf numFmtId="0" fontId="0" fillId="0" borderId="19" applyAlignment="1" pivotButton="0" quotePrefix="0" xfId="0">
      <alignment vertical="center"/>
    </xf>
    <xf numFmtId="0" fontId="0" fillId="0" borderId="19" applyAlignment="1" pivotButton="0" quotePrefix="0" xfId="0">
      <alignment horizontal="right"/>
    </xf>
    <xf numFmtId="0" fontId="0" fillId="0" borderId="19" pivotButton="0" quotePrefix="0" xfId="0"/>
    <xf numFmtId="0" fontId="13" fillId="0" borderId="19" applyAlignment="1" pivotButton="0" quotePrefix="0" xfId="0">
      <alignment vertical="bottom"/>
    </xf>
    <xf numFmtId="0" fontId="19" fillId="9" borderId="0" applyAlignment="1" pivotButton="0" quotePrefix="0" xfId="0">
      <alignment vertical="bottom"/>
    </xf>
    <xf numFmtId="0" fontId="0" fillId="9" borderId="0" pivotButton="0" quotePrefix="0" xfId="0"/>
    <xf numFmtId="0" fontId="20" fillId="10" borderId="0" applyAlignment="1" pivotButton="0" quotePrefix="0" xfId="0">
      <alignment horizontal="left" vertical="center" wrapText="1"/>
    </xf>
    <xf numFmtId="170" fontId="20" fillId="10" borderId="0" applyAlignment="1" pivotButton="0" quotePrefix="0" xfId="0">
      <alignment horizontal="center" vertical="center" wrapText="1"/>
    </xf>
    <xf numFmtId="0" fontId="20" fillId="10" borderId="0" applyAlignment="1" pivotButton="0" quotePrefix="0" xfId="0">
      <alignment horizontal="center" vertical="center" wrapText="1"/>
    </xf>
    <xf numFmtId="0" fontId="14" fillId="0" borderId="19" applyAlignment="1" pivotButton="0" quotePrefix="0" xfId="0">
      <alignment vertical="bottom"/>
    </xf>
    <xf numFmtId="0" fontId="13" fillId="0" borderId="19" applyAlignment="1" pivotButton="0" quotePrefix="0" xfId="0">
      <alignment vertical="center"/>
    </xf>
    <xf numFmtId="4" fontId="17" fillId="0" borderId="19" applyAlignment="1" pivotButton="0" quotePrefix="0" xfId="0">
      <alignment horizontal="right"/>
    </xf>
    <xf numFmtId="3" fontId="17" fillId="0" borderId="19" applyAlignment="1" pivotButton="0" quotePrefix="0" xfId="0">
      <alignment horizontal="right"/>
    </xf>
    <xf numFmtId="10" fontId="17" fillId="0" borderId="19" applyAlignment="1" pivotButton="0" quotePrefix="0" xfId="0">
      <alignment horizontal="right"/>
    </xf>
    <xf numFmtId="170" fontId="17" fillId="0" borderId="19" applyAlignment="1" pivotButton="0" quotePrefix="0" xfId="0">
      <alignment horizontal="right"/>
    </xf>
    <xf numFmtId="4" fontId="13" fillId="0" borderId="19" applyAlignment="1" pivotButton="0" quotePrefix="0" xfId="0">
      <alignment horizontal="right"/>
    </xf>
    <xf numFmtId="3" fontId="13" fillId="0" borderId="19" applyAlignment="1" pivotButton="0" quotePrefix="0" xfId="0">
      <alignment horizontal="right"/>
    </xf>
    <xf numFmtId="10" fontId="13" fillId="0" borderId="19" applyAlignment="1" pivotButton="0" quotePrefix="0" xfId="0">
      <alignment horizontal="right"/>
    </xf>
    <xf numFmtId="170" fontId="13" fillId="0" borderId="19" applyAlignment="1" pivotButton="0" quotePrefix="0" xfId="0">
      <alignment horizontal="right"/>
    </xf>
    <xf numFmtId="4" fontId="18" fillId="0" borderId="19" applyAlignment="1" pivotButton="0" quotePrefix="0" xfId="0">
      <alignment vertical="bottom"/>
    </xf>
    <xf numFmtId="0" fontId="18" fillId="0" borderId="19" applyAlignment="1" pivotButton="0" quotePrefix="0" xfId="0">
      <alignment vertical="bottom"/>
    </xf>
    <xf numFmtId="3" fontId="18" fillId="0" borderId="19" applyAlignment="1" pivotButton="0" quotePrefix="0" xfId="0">
      <alignment horizontal="right"/>
    </xf>
    <xf numFmtId="4" fontId="20" fillId="10" borderId="0" applyAlignment="1" pivotButton="0" quotePrefix="0" xfId="0">
      <alignment horizontal="left" vertical="center" wrapText="1"/>
    </xf>
    <xf numFmtId="3" fontId="20" fillId="10" borderId="0" applyAlignment="1" pivotButton="0" quotePrefix="0" xfId="0">
      <alignment horizontal="left" vertical="center" wrapText="1"/>
    </xf>
    <xf numFmtId="0" fontId="18" fillId="0" borderId="19" applyAlignment="1" pivotButton="0" quotePrefix="0" xfId="0">
      <alignment vertical="center"/>
    </xf>
    <xf numFmtId="170" fontId="18" fillId="0" borderId="19" applyAlignment="1" pivotButton="0" quotePrefix="0" xfId="0">
      <alignment horizontal="right"/>
    </xf>
    <xf numFmtId="0" fontId="16" fillId="0" borderId="19" applyAlignment="1" pivotButton="0" quotePrefix="0" xfId="0">
      <alignment vertical="bottom"/>
    </xf>
    <xf numFmtId="0" fontId="16" fillId="0" borderId="19" applyAlignment="1" pivotButton="0" quotePrefix="0" xfId="0">
      <alignment vertical="center"/>
    </xf>
    <xf numFmtId="3" fontId="16" fillId="0" borderId="19" applyAlignment="1" pivotButton="0" quotePrefix="0" xfId="0">
      <alignment horizontal="right"/>
    </xf>
    <xf numFmtId="4" fontId="16" fillId="0" borderId="19" applyAlignment="1" pivotButton="0" quotePrefix="0" xfId="0">
      <alignment vertical="bottom"/>
    </xf>
    <xf numFmtId="3" fontId="16" fillId="0" borderId="19" applyAlignment="1" pivotButton="0" quotePrefix="0" xfId="0">
      <alignment vertical="bottom"/>
    </xf>
    <xf numFmtId="3" fontId="18" fillId="0" borderId="19" applyAlignment="1" pivotButton="0" quotePrefix="0" xfId="0">
      <alignment vertical="bottom"/>
    </xf>
    <xf numFmtId="4" fontId="16" fillId="9" borderId="0" applyAlignment="1" pivotButton="0" quotePrefix="0" xfId="0">
      <alignment vertical="bottom"/>
    </xf>
    <xf numFmtId="3" fontId="16" fillId="9" borderId="0" applyAlignment="1" pivotButton="0" quotePrefix="0" xfId="0">
      <alignment vertical="bottom"/>
    </xf>
    <xf numFmtId="0" fontId="19" fillId="9" borderId="0" pivotButton="0" quotePrefix="0" xfId="0"/>
    <xf numFmtId="3" fontId="0" fillId="0" borderId="19" applyAlignment="1" pivotButton="0" quotePrefix="0" xfId="0">
      <alignment horizontal="right"/>
    </xf>
    <xf numFmtId="4" fontId="18" fillId="0" borderId="19" applyAlignment="1" pivotButton="0" quotePrefix="0" xfId="0">
      <alignment horizontal="right"/>
    </xf>
    <xf numFmtId="2" fontId="21" fillId="0" borderId="0" pivotButton="0" quotePrefix="0" xfId="0"/>
    <xf numFmtId="3" fontId="21" fillId="0" borderId="0" pivotButton="0" quotePrefix="0" xfId="0"/>
    <xf numFmtId="3" fontId="0" fillId="0" borderId="0" pivotButton="0" quotePrefix="0" xfId="0"/>
    <xf numFmtId="0" fontId="3" fillId="0" borderId="16" pivotButton="0" quotePrefix="0" xfId="0"/>
    <xf numFmtId="0" fontId="0" fillId="0" borderId="16" pivotButton="0" quotePrefix="0" xfId="0"/>
    <xf numFmtId="0" fontId="15" fillId="5" borderId="16" applyAlignment="1" pivotButton="0" quotePrefix="0" xfId="0">
      <alignment vertical="center" wrapText="1"/>
    </xf>
    <xf numFmtId="3" fontId="2" fillId="7" borderId="4" pivotButton="0" quotePrefix="0" xfId="0"/>
    <xf numFmtId="164" fontId="3" fillId="0" borderId="0" pivotButton="0" quotePrefix="0" xfId="0"/>
    <xf numFmtId="171" fontId="2" fillId="7" borderId="4" pivotButton="0" quotePrefix="0" xfId="0"/>
    <xf numFmtId="2" fontId="13" fillId="0" borderId="19" applyAlignment="1" pivotButton="0" quotePrefix="0" xfId="0">
      <alignment horizontal="right"/>
    </xf>
  </cellXfs>
  <cellStyles count="1">
    <cellStyle name="Normal" xfId="0" builtinId="0"/>
  </cellStyles>
  <dxfs count="1">
    <dxf>
      <font>
        <b val="1"/>
        <color rgb="009C2B00"/>
      </font>
      <fill>
        <patternFill patternType="solid">
          <fgColor rgb="00FFC7A0"/>
          <bgColor rgb="00FFC7A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ColWidth="14.42578125" defaultRowHeight="15" customHeight="1"/>
  <cols>
    <col width="4" customWidth="1" style="59" min="1" max="1"/>
    <col width="150" customWidth="1" style="59" min="2" max="2"/>
    <col width="8.7109375" customWidth="1" style="59" min="3" max="26"/>
  </cols>
  <sheetData>
    <row r="1" ht="15.75" customHeight="1" s="59">
      <c r="A1" s="1" t="inlineStr">
        <is>
          <t>LIVING IKON BOM TRACKER AND COSTING WORKBOOK, 5 Oct 2026</t>
        </is>
      </c>
    </row>
    <row r="2">
      <c r="A2" s="2" t="inlineStr">
        <is>
          <t>Same format and rate card as the PLV BOM Costing Workbook v3 (1 Oct 2026).</t>
        </is>
      </c>
    </row>
    <row r="4">
      <c r="A4" s="3" t="inlineStr">
        <is>
          <t>WHAT THIS IS</t>
        </is>
      </c>
      <c r="B4" s="4" t="n"/>
    </row>
    <row r="5" ht="27.75" customHeight="1" s="59">
      <c r="A5" s="5" t="n"/>
      <c r="B5" s="6" t="inlineStr">
        <is>
          <t>ITEMS lists the 36 items of the LEXI, NEW HOI AN and SIENNA catalogues, grouped by collection. Each item already has its own tab (tab name = item code; blue tabs LEXI, green NEW HOI AN, orange SIENNA).</t>
        </is>
      </c>
    </row>
    <row r="6" ht="27.75" customHeight="1" s="59">
      <c r="A6" s="5" t="n"/>
      <c r="B6" s="6" t="inlineStr">
        <is>
          <t>The operator reads the drawing and types component sizes, quantities and bought-in prices. Volume m³, face m², tier (grade A / A-CURVED / B / C / D) and all costs are calculated from the RATES tab. ITEMS shows status and unit cost per item for the quotation.</t>
        </is>
      </c>
    </row>
    <row r="8">
      <c r="A8" s="3" t="inlineStr">
        <is>
          <t>COLOURS</t>
        </is>
      </c>
      <c r="B8" s="4" t="n"/>
    </row>
    <row r="9" ht="27.75" customHeight="1" s="59">
      <c r="A9" s="5" t="n"/>
      <c r="B9" s="6" t="inlineStr">
        <is>
          <t>Blue text / white cell = you type here.   Yellow cell = must be filled (item code, hardware unit price).   Grey = calculated, do not type.   Light blue = cost from the rate card, do not type.</t>
        </is>
      </c>
    </row>
    <row r="11">
      <c r="A11" s="3" t="inlineStr">
        <is>
          <t>STEPS FOR EACH ITEM</t>
        </is>
      </c>
      <c r="B11" s="4" t="n"/>
    </row>
    <row r="12" ht="27.75" customHeight="1" s="59">
      <c r="A12" s="5" t="inlineStr">
        <is>
          <t>1</t>
        </is>
      </c>
      <c r="B12" s="6" t="inlineStr">
        <is>
          <t>Open the item tab. Code, name, collection / room, overall size and catalogue link are filled from ITEMS. If one is wrong or empty, correct it on ITEMS (or type over it).</t>
        </is>
      </c>
    </row>
    <row r="13" ht="27.75" customHeight="1" s="59">
      <c r="A13" s="5" t="inlineStr">
        <is>
          <t>2</t>
        </is>
      </c>
      <c r="B13" s="6" t="inlineStr">
        <is>
          <t>Paste the DRAWING LINK on ITEMS column I (it shows on the tab). Choose FINISH RECIPE and FLATPACK Y/N. Flatpack: one PACKING row per box (inside size). Assembled: leave the boxes empty.</t>
        </is>
      </c>
    </row>
    <row r="14" ht="15" customHeight="1" s="59">
      <c r="A14" s="5" t="inlineStr">
        <is>
          <t>3</t>
        </is>
      </c>
      <c r="B14" s="6" t="inlineStr">
        <is>
          <t>SOLID WOOD: one line per component: material, name, L, W, T in mm, qty per ONE item, EXPOSED Y/N, CURVED Y/N. The m³, m², tier and cost appear by themselves.</t>
        </is>
      </c>
    </row>
    <row r="15" ht="27.75" customHeight="1" s="59">
      <c r="A15" s="5" t="inlineStr">
        <is>
          <t>4</t>
        </is>
      </c>
      <c r="B15" s="6" t="inlineStr">
        <is>
          <t>PANELS: one line per panel: panel type, L, W, T, qty, exposed faces 0 / 1 / 2. Round, oversize or laminated panel with no size: type the number of sheets in SHEETS (manual).</t>
        </is>
      </c>
    </row>
    <row r="16" ht="27.75" customHeight="1" s="59">
      <c r="A16" s="5" t="inlineStr">
        <is>
          <t>5</t>
        </is>
      </c>
      <c r="B16" s="6" t="inlineStr">
        <is>
          <t>HARDWARE &amp; BOUGHT-IN: every purchased part or outside job: description, qty, UOM and UNIT PRICE IDR. This includes drawer runners, hinges, handles, SIENNA metal frames, NEW HOI AN rattan, mirror glass, chair fabric and foam.</t>
        </is>
      </c>
    </row>
    <row r="17" ht="15" customHeight="1" s="59">
      <c r="A17" s="5" t="n"/>
      <c r="B17" s="6" t="inlineStr">
        <is>
          <t>The EXAMPLE OV-505 B tab is a filled-in item (a Standard Maldives shelf) showing what a finished tab looks like.</t>
        </is>
      </c>
    </row>
    <row r="18" ht="15" customHeight="1" s="59">
      <c r="A18" s="5" t="inlineStr">
        <is>
          <t>6</t>
        </is>
      </c>
      <c r="B18" s="6" t="inlineStr">
        <is>
          <t>Look at the CHECK column and "Open input checks" under the summary. All must be OK / 0. Then ITEMS shows the item as "costed".</t>
        </is>
      </c>
    </row>
    <row r="19" ht="15" customHeight="1" s="59">
      <c r="A19" s="5" t="inlineStr">
        <is>
          <t>7</t>
        </is>
      </c>
      <c r="B19" s="6" t="inlineStr">
        <is>
          <t>New item not in the catalogues: add it on a spare row of ITEMS, then right-click TEMPLATE, Duplicate, rename the copy to the item code and type the code in C1.</t>
        </is>
      </c>
    </row>
    <row r="21" ht="15.75" customHeight="1" s="59">
      <c r="A21" s="3" t="inlineStr">
        <is>
          <t>LANGKAH SINGKAT (BAHASA INDONESIA)</t>
        </is>
      </c>
      <c r="B21" s="4" t="n"/>
    </row>
    <row r="22" ht="27.75" customHeight="1" s="59">
      <c r="A22" s="5" t="inlineStr">
        <is>
          <t>1</t>
        </is>
      </c>
      <c r="B22" s="6" t="inlineStr">
        <is>
          <t>Buka tab item (nama tab = kode item). Kode, nama, koleksi / ruangan, ukuran keseluruhan dan link katalog terisi otomatis dari ITEMS. Kalau salah atau kosong, perbaiki di ITEMS.</t>
        </is>
      </c>
    </row>
    <row r="23" ht="27.75" customHeight="1" s="59">
      <c r="A23" s="5" t="inlineStr">
        <is>
          <t>2</t>
        </is>
      </c>
      <c r="B23" s="6" t="inlineStr">
        <is>
          <t>Tempel link gambar di ITEMS kolom I. Isi komponen kayu solid (ukuran mm, qty per 1 item, EXPOSED Y/N, CURVED Y/N), panel, lalu hardware / barang beli dengan HARGA SATUAN (IDR).</t>
        </is>
      </c>
    </row>
    <row r="24" ht="15" customHeight="1" s="59">
      <c r="A24" s="5" t="inlineStr">
        <is>
          <t>3</t>
        </is>
      </c>
      <c r="B24" s="6" t="inlineStr">
        <is>
          <t>Sel abu-abu dan biru muda dihitung sistem, jangan diketik. Kolom CHECK harus OK semua. Tab RATES dan LISTS jangan diubah.</t>
        </is>
      </c>
    </row>
    <row r="25" ht="15.75" customHeight="1" s="59"/>
    <row r="26" ht="15.75" customHeight="1" s="59">
      <c r="A26" s="3" t="inlineStr">
        <is>
          <t>RULES BUILT INTO THE FORMULAS</t>
        </is>
      </c>
      <c r="B26" s="4" t="n"/>
    </row>
    <row r="27" ht="27.75" customHeight="1" s="59">
      <c r="A27" s="5" t="n"/>
      <c r="B27" s="6" t="inlineStr">
        <is>
          <t>Tier (solid wood): D = volume under 0.0005 m³ and under 300 mm · C = not exposed · A-CURVED = curved / wide board · B = section up to 40 × 40 mm and up to 1500 mm long, or shorter than 1000 mm · A = 1000 mm and longer. TIER OVERRIDE beats the rule.</t>
        </is>
      </c>
    </row>
    <row r="28" ht="27.75" customHeight="1" s="59">
      <c r="A28" s="5" t="n"/>
      <c r="B28" s="6" t="inlineStr">
        <is>
          <t>Tier rate = (log price + processing) × yield + carpentry labour, per m³ of finished component. Meranti = sawn price × yield + labour. Species OTHER has no rate: price it as a bought-in line.</t>
        </is>
      </c>
    </row>
    <row r="29" ht="27.75" customHeight="1" s="59">
      <c r="A29" s="5" t="n"/>
      <c r="B29" s="6" t="inlineStr">
        <is>
          <t>Panels: pieces per sheet from the 2440 × 1220 sheet with 5 mm kerf; whole sheets charged, unless waste on the last sheet is over 25% (then the fraction + 5% handling).</t>
        </is>
      </c>
    </row>
    <row r="30" ht="27.75" customHeight="1" s="59">
      <c r="A30" s="5" t="n"/>
      <c r="B30" s="6" t="inlineStr">
        <is>
          <t>Finishing: four lines (finishing materials, sanding materials, sanding labour, finishing labour) × exposed m². Exposed m² = one face (L × W × qty) per exposed solid component + exposed panel faces. Recipe NONE (RAW) = no finishing cost.</t>
        </is>
      </c>
    </row>
    <row r="31" ht="15" customHeight="1" s="59">
      <c r="A31" s="5" t="n"/>
      <c r="B31" s="6" t="inlineStr">
        <is>
          <t>Packing: carton = box size + 40 mm each way; cost = carton m² × rate + carton m³ × packing labour. Misc 5% on direct cost, overhead % on direct + misc.</t>
        </is>
      </c>
    </row>
    <row r="32" ht="15.75" customHeight="1" s="59"/>
    <row r="33" ht="15.75" customHeight="1" s="59">
      <c r="A33" s="3" t="inlineStr">
        <is>
          <t>STILL OPEN</t>
        </is>
      </c>
      <c r="B33" s="4" t="n"/>
    </row>
    <row r="34" ht="27.75" customHeight="1" s="59">
      <c r="A34" s="5" t="n"/>
      <c r="B34" s="6" t="inlineStr">
        <is>
          <t>Materials: the catalogues specify oak, Vic ash, MDF with oak veneer, rattan and metal frames. RATES only has teak, mindi, meranti and plywood with teak / mindi veneer. Decide the build material per collection, or add rates, before the costs are used for a quotation.</t>
        </is>
      </c>
    </row>
    <row r="35" ht="27.75" customHeight="1" s="59">
      <c r="A35" s="5" t="n"/>
      <c r="B35" s="6" t="inlineStr">
        <is>
          <t>Rate card: teak and mindi log prices are implied from the STMV ledger, not nota prices; yields for tiers A, B and D are by judgement; fasteners total, veneer prices and packing labour are estimates. Changing a blue cell on RATES re-costs every item.</t>
        </is>
      </c>
    </row>
    <row r="36" ht="15" customHeight="1" s="59">
      <c r="A36" s="5" t="n"/>
      <c r="B36" s="6" t="inlineStr">
        <is>
          <t>Finishing m² counts one face per component. For slatted items this is well below the real painted surface.</t>
        </is>
      </c>
    </row>
    <row r="37" ht="15" customHeight="1" s="59">
      <c r="A37" s="5" t="n"/>
      <c r="B37" s="6" t="inlineStr">
        <is>
          <t>The workbook gives factory cost per unit in IDR. Margin, currency and freight for the quotation are not in it.</t>
        </is>
      </c>
    </row>
    <row r="38" ht="15.75" customHeight="1" s="59"/>
    <row r="39" ht="15.75" customHeight="1" s="59"/>
    <row r="40" ht="15.75" customHeight="1" s="59"/>
    <row r="41" ht="15.75" customHeight="1" s="59"/>
    <row r="42" ht="15.75" customHeight="1" s="59"/>
    <row r="43" ht="15.75" customHeight="1" s="59"/>
    <row r="44" ht="15.75" customHeight="1" s="59"/>
    <row r="45" ht="15.75" customHeight="1" s="59"/>
    <row r="46" ht="15.75" customHeight="1" s="59"/>
    <row r="47" ht="15.75" customHeight="1" s="59"/>
    <row r="48" ht="15.75" customHeight="1" s="59"/>
    <row r="49" ht="15.75" customHeight="1" s="59"/>
    <row r="50" ht="15.75" customHeight="1" s="59"/>
    <row r="51" ht="15.75" customHeight="1" s="59"/>
    <row r="52" ht="15.75" customHeight="1" s="59"/>
    <row r="53" ht="15.75" customHeight="1" s="59"/>
    <row r="54" ht="15.75" customHeight="1" s="59"/>
    <row r="55" ht="15.75" customHeight="1" s="59"/>
    <row r="56" ht="15.75" customHeight="1" s="59"/>
    <row r="57" ht="15.75" customHeight="1" s="59"/>
    <row r="58" ht="15.75" customHeight="1" s="59"/>
    <row r="59" ht="15.75" customHeight="1" s="59"/>
    <row r="60" ht="15.75" customHeight="1" s="59"/>
    <row r="61" ht="15.75" customHeight="1" s="59"/>
    <row r="62" ht="15.75" customHeight="1" s="59"/>
    <row r="63" ht="15.75" customHeight="1" s="59"/>
    <row r="64" ht="15.75" customHeight="1" s="59"/>
    <row r="65" ht="15.75" customHeight="1" s="59"/>
    <row r="66" ht="15.75" customHeight="1" s="59"/>
    <row r="67" ht="15.75" customHeight="1" s="59"/>
    <row r="68" ht="15.75" customHeight="1" s="59"/>
    <row r="69" ht="15.75" customHeight="1" s="59"/>
    <row r="70" ht="15.75" customHeight="1" s="59"/>
    <row r="71" ht="15.75" customHeight="1" s="59"/>
    <row r="72" ht="15.75" customHeight="1" s="59"/>
    <row r="73" ht="15.75" customHeight="1" s="59"/>
    <row r="74" ht="15.75" customHeight="1" s="59"/>
    <row r="75" ht="15.75" customHeight="1" s="59"/>
    <row r="76" ht="15.75" customHeight="1" s="59"/>
    <row r="77" ht="15.75" customHeight="1" s="59"/>
    <row r="78" ht="15.75" customHeight="1" s="59"/>
    <row r="79" ht="15.75" customHeight="1" s="59"/>
    <row r="80" ht="15.75" customHeight="1" s="59"/>
    <row r="81" ht="15.75" customHeight="1" s="59"/>
    <row r="82" ht="15.75" customHeight="1" s="59"/>
    <row r="83" ht="15.75" customHeight="1" s="59"/>
    <row r="84" ht="15.75" customHeight="1" s="59"/>
    <row r="85" ht="15.75" customHeight="1" s="59"/>
    <row r="86" ht="15.75" customHeight="1" s="59"/>
    <row r="87" ht="15.75" customHeight="1" s="59"/>
    <row r="88" ht="15.75" customHeight="1" s="59"/>
    <row r="89" ht="15.75" customHeight="1" s="59"/>
    <row r="90" ht="15.75" customHeight="1" s="59"/>
    <row r="91" ht="15.75" customHeight="1" s="59"/>
    <row r="92" ht="15.75" customHeight="1" s="59"/>
    <row r="93" ht="15.75" customHeight="1" s="59"/>
    <row r="94" ht="15.75" customHeight="1" s="59"/>
    <row r="95" ht="15.75" customHeight="1" s="59"/>
    <row r="96" ht="15.75" customHeight="1" s="59"/>
    <row r="97" ht="15.75" customHeight="1" s="59"/>
    <row r="98" ht="15.75" customHeight="1" s="59"/>
    <row r="99" ht="15.75" customHeight="1" s="59"/>
    <row r="100" ht="15.75" customHeight="1" s="59"/>
    <row r="101" ht="15.75" customHeight="1" s="59"/>
    <row r="102" ht="15.75" customHeight="1" s="59"/>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row r="175" ht="15.75" customHeight="1" s="59"/>
    <row r="176" ht="15.75" customHeight="1" s="59"/>
    <row r="177" ht="15.75" customHeight="1" s="59"/>
    <row r="178" ht="15.75" customHeight="1" s="59"/>
    <row r="179" ht="15.75" customHeight="1" s="59"/>
    <row r="180" ht="15.75" customHeight="1" s="59"/>
    <row r="181" ht="15.75" customHeight="1" s="59"/>
    <row r="182" ht="15.75" customHeight="1" s="59"/>
    <row r="183" ht="15.75" customHeight="1" s="59"/>
    <row r="184" ht="15.75" customHeight="1" s="59"/>
    <row r="185" ht="15.75" customHeight="1" s="59"/>
    <row r="186" ht="15.75" customHeight="1" s="59"/>
    <row r="187" ht="15.75" customHeight="1" s="59"/>
    <row r="188" ht="15.75" customHeight="1" s="59"/>
    <row r="189" ht="15.75" customHeight="1" s="59"/>
    <row r="190" ht="15.75" customHeight="1" s="59"/>
    <row r="191" ht="15.75" customHeight="1" s="59"/>
    <row r="192" ht="15.75" customHeight="1" s="59"/>
    <row r="193" ht="15.75" customHeight="1" s="59"/>
    <row r="194" ht="15.75" customHeight="1" s="59"/>
    <row r="195" ht="15.75" customHeight="1" s="59"/>
    <row r="196" ht="15.75" customHeight="1" s="59"/>
    <row r="197" ht="15.75" customHeight="1" s="59"/>
    <row r="198" ht="15.75" customHeight="1" s="59"/>
    <row r="199" ht="15.75" customHeight="1" s="59"/>
    <row r="200" ht="15.75" customHeight="1" s="59"/>
    <row r="201" ht="15.75" customHeight="1" s="59"/>
    <row r="202" ht="15.75" customHeight="1" s="59"/>
    <row r="203" ht="15.75" customHeight="1" s="59"/>
    <row r="204" ht="15.75" customHeight="1" s="59"/>
    <row r="205" ht="15.75" customHeight="1" s="59"/>
    <row r="206" ht="15.75" customHeight="1" s="59"/>
    <row r="207" ht="15.75" customHeight="1" s="59"/>
    <row r="208" ht="15.75" customHeight="1" s="59"/>
    <row r="209" ht="15.75" customHeight="1" s="59"/>
    <row r="210" ht="15.75" customHeight="1" s="59"/>
    <row r="211" ht="15.75" customHeight="1" s="59"/>
    <row r="212" ht="15.75" customHeight="1" s="59"/>
    <row r="213" ht="15.75" customHeight="1" s="59"/>
    <row r="214" ht="15.75" customHeight="1" s="59"/>
    <row r="215" ht="15.75" customHeight="1" s="59"/>
    <row r="216" ht="15.75" customHeight="1" s="59"/>
    <row r="217" ht="15.75" customHeight="1" s="59"/>
    <row r="218" ht="15.75" customHeight="1" s="59"/>
    <row r="219" ht="15.75" customHeight="1" s="59"/>
    <row r="220" ht="15.75" customHeight="1" s="59"/>
    <row r="221" ht="15.75" customHeight="1" s="59"/>
    <row r="222" ht="15.75" customHeight="1" s="59"/>
    <row r="223" ht="15.75" customHeight="1" s="59"/>
    <row r="224" ht="15.75" customHeight="1" s="59"/>
    <row r="225" ht="15.75" customHeight="1" s="59"/>
    <row r="226" ht="15.75" customHeight="1" s="59"/>
    <row r="227" ht="15.75" customHeight="1" s="59"/>
    <row r="228" ht="15.75" customHeight="1" s="59"/>
    <row r="229" ht="15.75" customHeight="1" s="59"/>
    <row r="230" ht="15.75" customHeight="1" s="59"/>
    <row r="231" ht="15.75" customHeight="1" s="59"/>
    <row r="232" ht="15.75" customHeight="1" s="59"/>
    <row r="233" ht="15.75" customHeight="1" s="59"/>
    <row r="234" ht="15.75" customHeight="1" s="59"/>
    <row r="235" ht="15.75" customHeight="1" s="59"/>
    <row r="236" ht="15.75" customHeight="1" s="59"/>
    <row r="237" ht="15.75" customHeight="1" s="59"/>
    <row r="238" ht="15.75" customHeight="1" s="59"/>
    <row r="239" ht="15.75" customHeight="1" s="59"/>
    <row r="240" ht="15.75" customHeight="1" s="59"/>
    <row r="241" ht="15.75" customHeight="1" s="59"/>
    <row r="242" ht="15.75" customHeight="1" s="59"/>
    <row r="243" ht="15.75" customHeight="1" s="59"/>
    <row r="244" ht="15.75" customHeight="1" s="59"/>
    <row r="245" ht="15.75" customHeight="1" s="59"/>
    <row r="246" ht="15.75" customHeight="1" s="59"/>
    <row r="247" ht="15.75" customHeight="1" s="59"/>
    <row r="248" ht="15.75" customHeight="1" s="59"/>
    <row r="249" ht="15.75" customHeight="1" s="59"/>
    <row r="250" ht="15.75" customHeight="1" s="59"/>
    <row r="251" ht="15.75" customHeight="1" s="59"/>
    <row r="252" ht="15.75" customHeight="1" s="59"/>
    <row r="253" ht="15.75" customHeight="1" s="59"/>
    <row r="254" ht="15.75" customHeight="1" s="59"/>
    <row r="255" ht="15.75" customHeight="1" s="59"/>
    <row r="256" ht="15.75" customHeight="1" s="59"/>
    <row r="257" ht="15.75" customHeight="1" s="59"/>
    <row r="258" ht="15.75" customHeight="1" s="59"/>
    <row r="259" ht="15.75" customHeight="1" s="59"/>
    <row r="260" ht="15.75" customHeight="1" s="59"/>
    <row r="261" ht="15.75" customHeight="1" s="59"/>
    <row r="262" ht="15.75" customHeight="1" s="59"/>
    <row r="263" ht="15.75" customHeight="1" s="59"/>
    <row r="264" ht="15.75" customHeight="1" s="59"/>
    <row r="265" ht="15.75" customHeight="1" s="59"/>
    <row r="266" ht="15.75" customHeight="1" s="59"/>
    <row r="267" ht="15.75" customHeight="1" s="59"/>
    <row r="268" ht="15.75" customHeight="1" s="59"/>
    <row r="269" ht="15.75" customHeight="1" s="59"/>
    <row r="270" ht="15.75" customHeight="1" s="59"/>
    <row r="271" ht="15.75" customHeight="1" s="59"/>
    <row r="272" ht="15.75" customHeight="1" s="59"/>
    <row r="273" ht="15.75" customHeight="1" s="59"/>
    <row r="274" ht="15.75" customHeight="1" s="59"/>
    <row r="275" ht="15.75" customHeight="1" s="59"/>
    <row r="276" ht="15.75" customHeight="1" s="59"/>
    <row r="277" ht="15.75" customHeight="1" s="59"/>
    <row r="278" ht="15.75" customHeight="1" s="59"/>
    <row r="279" ht="15.75" customHeight="1" s="59"/>
    <row r="280" ht="15.75" customHeight="1" s="59"/>
    <row r="281" ht="15.75" customHeight="1" s="59"/>
    <row r="282" ht="15.75" customHeight="1" s="59"/>
    <row r="283" ht="15.75" customHeight="1" s="59"/>
    <row r="284" ht="15.75" customHeight="1" s="59"/>
    <row r="285" ht="15.75" customHeight="1" s="59"/>
    <row r="286" ht="15.75" customHeight="1" s="59"/>
    <row r="287" ht="15.75" customHeight="1" s="59"/>
    <row r="288" ht="15.75" customHeight="1" s="59"/>
    <row r="289" ht="15.75" customHeight="1" s="59"/>
    <row r="290" ht="15.75" customHeight="1" s="59"/>
    <row r="291" ht="15.75" customHeight="1" s="59"/>
    <row r="292" ht="15.75" customHeight="1" s="59"/>
    <row r="293" ht="15.75" customHeight="1" s="59"/>
    <row r="294" ht="15.75" customHeight="1" s="59"/>
    <row r="295" ht="15.75" customHeight="1" s="59"/>
    <row r="296" ht="15.75" customHeight="1" s="59"/>
    <row r="297" ht="15.75" customHeight="1" s="59"/>
    <row r="298" ht="15.75" customHeight="1" s="59"/>
    <row r="299" ht="15.75" customHeight="1" s="59"/>
    <row r="300" ht="15.75" customHeight="1" s="59"/>
    <row r="301" ht="15.75" customHeight="1" s="59"/>
    <row r="302" ht="15.75" customHeight="1" s="59"/>
    <row r="303" ht="15.75" customHeight="1" s="59"/>
    <row r="304" ht="15.75" customHeight="1" s="59"/>
    <row r="305" ht="15.75" customHeight="1" s="59"/>
    <row r="306" ht="15.75" customHeight="1" s="59"/>
    <row r="307" ht="15.75" customHeight="1" s="59"/>
    <row r="308" ht="15.75" customHeight="1" s="59"/>
    <row r="309" ht="15.75" customHeight="1" s="59"/>
    <row r="310" ht="15.75" customHeight="1" s="59"/>
    <row r="311" ht="15.75" customHeight="1" s="59"/>
    <row r="312" ht="15.75" customHeight="1" s="59"/>
    <row r="313" ht="15.75" customHeight="1" s="59"/>
    <row r="314" ht="15.75" customHeight="1" s="59"/>
    <row r="315" ht="15.75" customHeight="1" s="59"/>
    <row r="316" ht="15.75" customHeight="1" s="59"/>
    <row r="317" ht="15.75" customHeight="1" s="59"/>
    <row r="318" ht="15.75" customHeight="1" s="59"/>
    <row r="319" ht="15.75" customHeight="1" s="59"/>
    <row r="320" ht="15.75" customHeight="1" s="59"/>
    <row r="321" ht="15.75" customHeight="1" s="59"/>
    <row r="322" ht="15.75" customHeight="1" s="59"/>
    <row r="323" ht="15.75" customHeight="1" s="59"/>
    <row r="324" ht="15.75" customHeight="1" s="59"/>
    <row r="325" ht="15.75" customHeight="1" s="59"/>
    <row r="326" ht="15.75" customHeight="1" s="59"/>
    <row r="327" ht="15.75" customHeight="1" s="59"/>
    <row r="328" ht="15.75" customHeight="1" s="59"/>
    <row r="329" ht="15.75" customHeight="1" s="59"/>
    <row r="330" ht="15.75" customHeight="1" s="59"/>
    <row r="331" ht="15.75" customHeight="1" s="59"/>
    <row r="332" ht="15.75" customHeight="1" s="59"/>
    <row r="333" ht="15.75" customHeight="1" s="59"/>
    <row r="334" ht="15.75" customHeight="1" s="59"/>
    <row r="335" ht="15.75" customHeight="1" s="59"/>
    <row r="336" ht="15.75" customHeight="1" s="59"/>
    <row r="337" ht="15.75" customHeight="1" s="59"/>
    <row r="338" ht="15.75" customHeight="1" s="59"/>
    <row r="339" ht="15.75" customHeight="1" s="59"/>
    <row r="340" ht="15.75" customHeight="1" s="59"/>
    <row r="341" ht="15.75" customHeight="1" s="59"/>
    <row r="342" ht="15.75" customHeight="1" s="59"/>
    <row r="343" ht="15.75" customHeight="1" s="59"/>
    <row r="344" ht="15.75" customHeight="1" s="59"/>
    <row r="345" ht="15.75" customHeight="1" s="59"/>
    <row r="346" ht="15.75" customHeight="1" s="59"/>
    <row r="347" ht="15.75" customHeight="1" s="59"/>
    <row r="348" ht="15.75" customHeight="1" s="59"/>
    <row r="349" ht="15.75" customHeight="1" s="59"/>
    <row r="350" ht="15.75" customHeight="1" s="59"/>
    <row r="351" ht="15.75" customHeight="1" s="59"/>
    <row r="352" ht="15.75" customHeight="1" s="59"/>
    <row r="353" ht="15.75" customHeight="1" s="59"/>
    <row r="354" ht="15.75" customHeight="1" s="59"/>
    <row r="355" ht="15.75" customHeight="1" s="59"/>
    <row r="356" ht="15.75" customHeight="1" s="59"/>
    <row r="357" ht="15.75" customHeight="1" s="59"/>
    <row r="358" ht="15.75" customHeight="1" s="59"/>
    <row r="359" ht="15.75" customHeight="1" s="59"/>
    <row r="360" ht="15.75" customHeight="1" s="59"/>
    <row r="361" ht="15.75" customHeight="1" s="59"/>
    <row r="362" ht="15.75" customHeight="1" s="59"/>
    <row r="363" ht="15.75" customHeight="1" s="59"/>
    <row r="364" ht="15.75" customHeight="1" s="59"/>
    <row r="365" ht="15.75" customHeight="1" s="59"/>
    <row r="366" ht="15.75" customHeight="1" s="59"/>
    <row r="367" ht="15.75" customHeight="1" s="59"/>
    <row r="368" ht="15.75" customHeight="1" s="59"/>
    <row r="369" ht="15.75" customHeight="1" s="59"/>
    <row r="370" ht="15.75" customHeight="1" s="59"/>
    <row r="371" ht="15.75" customHeight="1" s="59"/>
    <row r="372" ht="15.75" customHeight="1" s="59"/>
    <row r="373" ht="15.75" customHeight="1" s="59"/>
    <row r="374" ht="15.75" customHeight="1" s="59"/>
    <row r="375" ht="15.75" customHeight="1" s="59"/>
    <row r="376" ht="15.75" customHeight="1" s="59"/>
    <row r="377" ht="15.75" customHeight="1" s="59"/>
    <row r="378" ht="15.75" customHeight="1" s="59"/>
    <row r="379" ht="15.75" customHeight="1" s="59"/>
    <row r="380" ht="15.75" customHeight="1" s="59"/>
    <row r="381" ht="15.75" customHeight="1" s="59"/>
    <row r="382" ht="15.75" customHeight="1" s="59"/>
    <row r="383" ht="15.75" customHeight="1" s="59"/>
    <row r="384" ht="15.75" customHeight="1" s="59"/>
    <row r="385" ht="15.75" customHeight="1" s="59"/>
    <row r="386" ht="15.75" customHeight="1" s="59"/>
    <row r="387" ht="15.75" customHeight="1" s="59"/>
    <row r="388" ht="15.75" customHeight="1" s="59"/>
    <row r="389" ht="15.75" customHeight="1" s="59"/>
    <row r="390" ht="15.75" customHeight="1" s="59"/>
    <row r="391" ht="15.75" customHeight="1" s="59"/>
    <row r="392" ht="15.75" customHeight="1" s="59"/>
    <row r="393" ht="15.75" customHeight="1" s="59"/>
    <row r="394" ht="15.75" customHeight="1" s="59"/>
    <row r="395" ht="15.75" customHeight="1" s="59"/>
    <row r="396" ht="15.75" customHeight="1" s="59"/>
    <row r="397" ht="15.75" customHeight="1" s="59"/>
    <row r="398" ht="15.75" customHeight="1" s="59"/>
    <row r="399" ht="15.75" customHeight="1" s="59"/>
    <row r="400" ht="15.75" customHeight="1" s="59"/>
    <row r="401" ht="15.75" customHeight="1" s="59"/>
    <row r="402" ht="15.75" customHeight="1" s="59"/>
    <row r="403" ht="15.75" customHeight="1" s="59"/>
    <row r="404" ht="15.75" customHeight="1" s="59"/>
    <row r="405" ht="15.75" customHeight="1" s="59"/>
    <row r="406" ht="15.75" customHeight="1" s="59"/>
    <row r="407" ht="15.75" customHeight="1" s="59"/>
    <row r="408" ht="15.75" customHeight="1" s="59"/>
    <row r="409" ht="15.75" customHeight="1" s="59"/>
    <row r="410" ht="15.75" customHeight="1" s="59"/>
    <row r="411" ht="15.75" customHeight="1" s="59"/>
    <row r="412" ht="15.75" customHeight="1" s="59"/>
    <row r="413" ht="15.75" customHeight="1" s="59"/>
    <row r="414" ht="15.75" customHeight="1" s="59"/>
    <row r="415" ht="15.75" customHeight="1" s="59"/>
    <row r="416" ht="15.75" customHeight="1" s="59"/>
    <row r="417" ht="15.75" customHeight="1" s="59"/>
    <row r="418" ht="15.75" customHeight="1" s="59"/>
    <row r="419" ht="15.75" customHeight="1" s="59"/>
    <row r="420" ht="15.75" customHeight="1" s="59"/>
    <row r="421" ht="15.75" customHeight="1" s="59"/>
    <row r="422" ht="15.75" customHeight="1" s="59"/>
    <row r="423" ht="15.75" customHeight="1" s="59"/>
    <row r="424" ht="15.75" customHeight="1" s="59"/>
    <row r="425" ht="15.75" customHeight="1" s="59"/>
    <row r="426" ht="15.75" customHeight="1" s="59"/>
    <row r="427" ht="15.75" customHeight="1" s="59"/>
    <row r="428" ht="15.75" customHeight="1" s="59"/>
    <row r="429" ht="15.75" customHeight="1" s="59"/>
    <row r="430" ht="15.75" customHeight="1" s="59"/>
    <row r="431" ht="15.75" customHeight="1" s="59"/>
    <row r="432" ht="15.75" customHeight="1" s="59"/>
    <row r="433" ht="15.75" customHeight="1" s="59"/>
    <row r="434" ht="15.75" customHeight="1" s="59"/>
    <row r="435" ht="15.75" customHeight="1" s="59"/>
    <row r="436" ht="15.75" customHeight="1" s="59"/>
    <row r="437" ht="15.75" customHeight="1" s="59"/>
    <row r="438" ht="15.75" customHeight="1" s="59"/>
    <row r="439" ht="15.75" customHeight="1" s="59"/>
    <row r="440" ht="15.75" customHeight="1" s="59"/>
    <row r="441" ht="15.75" customHeight="1" s="59"/>
    <row r="442" ht="15.75" customHeight="1" s="59"/>
    <row r="443" ht="15.75" customHeight="1" s="59"/>
    <row r="444" ht="15.75" customHeight="1" s="59"/>
    <row r="445" ht="15.75" customHeight="1" s="59"/>
    <row r="446" ht="15.75" customHeight="1" s="59"/>
    <row r="447" ht="15.75" customHeight="1" s="59"/>
    <row r="448" ht="15.75" customHeight="1" s="59"/>
    <row r="449" ht="15.75" customHeight="1" s="59"/>
    <row r="450" ht="15.75" customHeight="1" s="59"/>
    <row r="451" ht="15.75" customHeight="1" s="59"/>
    <row r="452" ht="15.75" customHeight="1" s="59"/>
    <row r="453" ht="15.75" customHeight="1" s="59"/>
    <row r="454" ht="15.75" customHeight="1" s="59"/>
    <row r="455" ht="15.75" customHeight="1" s="59"/>
    <row r="456" ht="15.75" customHeight="1" s="59"/>
    <row r="457" ht="15.75" customHeight="1" s="59"/>
    <row r="458" ht="15.75" customHeight="1" s="59"/>
    <row r="459" ht="15.75" customHeight="1" s="59"/>
    <row r="460" ht="15.75" customHeight="1" s="59"/>
    <row r="461" ht="15.75" customHeight="1" s="59"/>
    <row r="462" ht="15.75" customHeight="1" s="59"/>
    <row r="463" ht="15.75" customHeight="1" s="59"/>
    <row r="464" ht="15.75" customHeight="1" s="59"/>
    <row r="465" ht="15.75" customHeight="1" s="59"/>
    <row r="466" ht="15.75" customHeight="1" s="59"/>
    <row r="467" ht="15.75" customHeight="1" s="59"/>
    <row r="468" ht="15.75" customHeight="1" s="59"/>
    <row r="469" ht="15.75" customHeight="1" s="59"/>
    <row r="470" ht="15.75" customHeight="1" s="59"/>
    <row r="471" ht="15.75" customHeight="1" s="59"/>
    <row r="472" ht="15.75" customHeight="1" s="59"/>
    <row r="473" ht="15.75" customHeight="1" s="59"/>
    <row r="474" ht="15.75" customHeight="1" s="59"/>
    <row r="475" ht="15.75" customHeight="1" s="59"/>
    <row r="476" ht="15.75" customHeight="1" s="59"/>
    <row r="477" ht="15.75" customHeight="1" s="59"/>
    <row r="478" ht="15.75" customHeight="1" s="59"/>
    <row r="479" ht="15.75" customHeight="1" s="59"/>
    <row r="480" ht="15.75" customHeight="1" s="59"/>
    <row r="481" ht="15.75" customHeight="1" s="59"/>
    <row r="482" ht="15.75" customHeight="1" s="59"/>
    <row r="483" ht="15.75" customHeight="1" s="59"/>
    <row r="484" ht="15.75" customHeight="1" s="59"/>
    <row r="485" ht="15.75" customHeight="1" s="59"/>
    <row r="486" ht="15.75" customHeight="1" s="59"/>
    <row r="487" ht="15.75" customHeight="1" s="59"/>
    <row r="488" ht="15.75" customHeight="1" s="59"/>
    <row r="489" ht="15.75" customHeight="1" s="59"/>
    <row r="490" ht="15.75" customHeight="1" s="59"/>
    <row r="491" ht="15.75" customHeight="1" s="59"/>
    <row r="492" ht="15.75" customHeight="1" s="59"/>
    <row r="493" ht="15.75" customHeight="1" s="59"/>
    <row r="494" ht="15.75" customHeight="1" s="59"/>
    <row r="495" ht="15.75" customHeight="1" s="59"/>
    <row r="496" ht="15.75" customHeight="1" s="59"/>
    <row r="497" ht="15.75" customHeight="1" s="59"/>
    <row r="498" ht="15.75" customHeight="1" s="59"/>
    <row r="499" ht="15.75" customHeight="1" s="59"/>
    <row r="500" ht="15.75" customHeight="1" s="59"/>
    <row r="501" ht="15.75" customHeight="1" s="59"/>
    <row r="502" ht="15.75" customHeight="1" s="59"/>
    <row r="503" ht="15.75" customHeight="1" s="59"/>
    <row r="504" ht="15.75" customHeight="1" s="59"/>
    <row r="505" ht="15.75" customHeight="1" s="59"/>
    <row r="506" ht="15.75" customHeight="1" s="59"/>
    <row r="507" ht="15.75" customHeight="1" s="59"/>
    <row r="508" ht="15.75" customHeight="1" s="59"/>
    <row r="509" ht="15.75" customHeight="1" s="59"/>
    <row r="510" ht="15.75" customHeight="1" s="59"/>
    <row r="511" ht="15.75" customHeight="1" s="59"/>
    <row r="512" ht="15.75" customHeight="1" s="59"/>
    <row r="513" ht="15.75" customHeight="1" s="59"/>
    <row r="514" ht="15.75" customHeight="1" s="59"/>
    <row r="515" ht="15.75" customHeight="1" s="59"/>
    <row r="516" ht="15.75" customHeight="1" s="59"/>
    <row r="517" ht="15.75" customHeight="1" s="59"/>
    <row r="518" ht="15.75" customHeight="1" s="59"/>
    <row r="519" ht="15.75" customHeight="1" s="59"/>
    <row r="520" ht="15.75" customHeight="1" s="59"/>
    <row r="521" ht="15.75" customHeight="1" s="59"/>
    <row r="522" ht="15.75" customHeight="1" s="59"/>
    <row r="523" ht="15.75" customHeight="1" s="59"/>
    <row r="524" ht="15.75" customHeight="1" s="59"/>
    <row r="525" ht="15.75" customHeight="1" s="59"/>
    <row r="526" ht="15.75" customHeight="1" s="59"/>
    <row r="527" ht="15.75" customHeight="1" s="59"/>
    <row r="528" ht="15.75" customHeight="1" s="59"/>
    <row r="529" ht="15.75" customHeight="1" s="59"/>
    <row r="530" ht="15.75" customHeight="1" s="59"/>
    <row r="531" ht="15.75" customHeight="1" s="59"/>
    <row r="532" ht="15.75" customHeight="1" s="59"/>
    <row r="533" ht="15.75" customHeight="1" s="59"/>
    <row r="534" ht="15.75" customHeight="1" s="59"/>
    <row r="535" ht="15.75" customHeight="1" s="59"/>
    <row r="536" ht="15.75" customHeight="1" s="59"/>
    <row r="537" ht="15.75" customHeight="1" s="59"/>
    <row r="538" ht="15.75" customHeight="1" s="59"/>
    <row r="539" ht="15.75" customHeight="1" s="59"/>
    <row r="540" ht="15.75" customHeight="1" s="59"/>
    <row r="541" ht="15.75" customHeight="1" s="59"/>
    <row r="542" ht="15.75" customHeight="1" s="59"/>
    <row r="543" ht="15.75" customHeight="1" s="59"/>
    <row r="544" ht="15.75" customHeight="1" s="59"/>
    <row r="545" ht="15.75" customHeight="1" s="59"/>
    <row r="546" ht="15.75" customHeight="1" s="59"/>
    <row r="547" ht="15.75" customHeight="1" s="59"/>
    <row r="548" ht="15.75" customHeight="1" s="59"/>
    <row r="549" ht="15.75" customHeight="1" s="59"/>
    <row r="550" ht="15.75" customHeight="1" s="59"/>
    <row r="551" ht="15.75" customHeight="1" s="59"/>
    <row r="552" ht="15.75" customHeight="1" s="59"/>
    <row r="553" ht="15.75" customHeight="1" s="59"/>
    <row r="554" ht="15.75" customHeight="1" s="59"/>
    <row r="555" ht="15.75" customHeight="1" s="59"/>
    <row r="556" ht="15.75" customHeight="1" s="59"/>
    <row r="557" ht="15.75" customHeight="1" s="59"/>
    <row r="558" ht="15.75" customHeight="1" s="59"/>
    <row r="559" ht="15.75" customHeight="1" s="59"/>
    <row r="560" ht="15.75" customHeight="1" s="59"/>
    <row r="561" ht="15.75" customHeight="1" s="59"/>
    <row r="562" ht="15.75" customHeight="1" s="59"/>
    <row r="563" ht="15.75" customHeight="1" s="59"/>
    <row r="564" ht="15.75" customHeight="1" s="59"/>
    <row r="565" ht="15.75" customHeight="1" s="59"/>
    <row r="566" ht="15.75" customHeight="1" s="59"/>
    <row r="567" ht="15.75" customHeight="1" s="59"/>
    <row r="568" ht="15.75" customHeight="1" s="59"/>
    <row r="569" ht="15.75" customHeight="1" s="59"/>
    <row r="570" ht="15.75" customHeight="1" s="59"/>
    <row r="571" ht="15.75" customHeight="1" s="59"/>
    <row r="572" ht="15.75" customHeight="1" s="59"/>
    <row r="573" ht="15.75" customHeight="1" s="59"/>
    <row r="574" ht="15.75" customHeight="1" s="59"/>
    <row r="575" ht="15.75" customHeight="1" s="59"/>
    <row r="576" ht="15.75" customHeight="1" s="59"/>
    <row r="577" ht="15.75" customHeight="1" s="59"/>
    <row r="578" ht="15.75" customHeight="1" s="59"/>
    <row r="579" ht="15.75" customHeight="1" s="59"/>
    <row r="580" ht="15.75" customHeight="1" s="59"/>
    <row r="581" ht="15.75" customHeight="1" s="59"/>
    <row r="582" ht="15.75" customHeight="1" s="59"/>
    <row r="583" ht="15.75" customHeight="1" s="59"/>
    <row r="584" ht="15.75" customHeight="1" s="59"/>
    <row r="585" ht="15.75" customHeight="1" s="59"/>
    <row r="586" ht="15.75" customHeight="1" s="59"/>
    <row r="587" ht="15.75" customHeight="1" s="59"/>
    <row r="588" ht="15.75" customHeight="1" s="59"/>
    <row r="589" ht="15.75" customHeight="1" s="59"/>
    <row r="590" ht="15.75" customHeight="1" s="59"/>
    <row r="591" ht="15.75" customHeight="1" s="59"/>
    <row r="592" ht="15.75" customHeight="1" s="59"/>
    <row r="593" ht="15.75" customHeight="1" s="59"/>
    <row r="594" ht="15.75" customHeight="1" s="59"/>
    <row r="595" ht="15.75" customHeight="1" s="59"/>
    <row r="596" ht="15.75" customHeight="1" s="59"/>
    <row r="597" ht="15.75" customHeight="1" s="59"/>
    <row r="598" ht="15.75" customHeight="1" s="59"/>
    <row r="599" ht="15.75" customHeight="1" s="59"/>
    <row r="600" ht="15.75" customHeight="1" s="59"/>
    <row r="601" ht="15.75" customHeight="1" s="59"/>
    <row r="602" ht="15.75" customHeight="1" s="59"/>
    <row r="603" ht="15.75" customHeight="1" s="59"/>
    <row r="604" ht="15.75" customHeight="1" s="59"/>
    <row r="605" ht="15.75" customHeight="1" s="59"/>
    <row r="606" ht="15.75" customHeight="1" s="59"/>
    <row r="607" ht="15.75" customHeight="1" s="59"/>
    <row r="608" ht="15.75" customHeight="1" s="59"/>
    <row r="609" ht="15.75" customHeight="1" s="59"/>
    <row r="610" ht="15.75" customHeight="1" s="59"/>
    <row r="611" ht="15.75" customHeight="1" s="59"/>
    <row r="612" ht="15.75" customHeight="1" s="59"/>
    <row r="613" ht="15.75" customHeight="1" s="59"/>
    <row r="614" ht="15.75" customHeight="1" s="59"/>
    <row r="615" ht="15.75" customHeight="1" s="59"/>
    <row r="616" ht="15.75" customHeight="1" s="59"/>
    <row r="617" ht="15.75" customHeight="1" s="59"/>
    <row r="618" ht="15.75" customHeight="1" s="59"/>
    <row r="619" ht="15.75" customHeight="1" s="59"/>
    <row r="620" ht="15.75" customHeight="1" s="59"/>
    <row r="621" ht="15.75" customHeight="1" s="59"/>
    <row r="622" ht="15.75" customHeight="1" s="59"/>
    <row r="623" ht="15.75" customHeight="1" s="59"/>
    <row r="624" ht="15.75" customHeight="1" s="59"/>
    <row r="625" ht="15.75" customHeight="1" s="59"/>
    <row r="626" ht="15.75" customHeight="1" s="59"/>
    <row r="627" ht="15.75" customHeight="1" s="59"/>
    <row r="628" ht="15.75" customHeight="1" s="59"/>
    <row r="629" ht="15.75" customHeight="1" s="59"/>
    <row r="630" ht="15.75" customHeight="1" s="59"/>
    <row r="631" ht="15.75" customHeight="1" s="59"/>
    <row r="632" ht="15.75" customHeight="1" s="59"/>
    <row r="633" ht="15.75" customHeight="1" s="59"/>
    <row r="634" ht="15.75" customHeight="1" s="59"/>
    <row r="635" ht="15.75" customHeight="1" s="59"/>
    <row r="636" ht="15.75" customHeight="1" s="59"/>
    <row r="637" ht="15.75" customHeight="1" s="59"/>
    <row r="638" ht="15.75" customHeight="1" s="59"/>
    <row r="639" ht="15.75" customHeight="1" s="59"/>
    <row r="640" ht="15.75" customHeight="1" s="59"/>
    <row r="641" ht="15.75" customHeight="1" s="59"/>
    <row r="642" ht="15.75" customHeight="1" s="59"/>
    <row r="643" ht="15.75" customHeight="1" s="59"/>
    <row r="644" ht="15.75" customHeight="1" s="59"/>
    <row r="645" ht="15.75" customHeight="1" s="59"/>
    <row r="646" ht="15.75" customHeight="1" s="59"/>
    <row r="647" ht="15.75" customHeight="1" s="59"/>
    <row r="648" ht="15.75" customHeight="1" s="59"/>
    <row r="649" ht="15.75" customHeight="1" s="59"/>
    <row r="650" ht="15.75" customHeight="1" s="59"/>
    <row r="651" ht="15.75" customHeight="1" s="59"/>
    <row r="652" ht="15.75" customHeight="1" s="59"/>
    <row r="653" ht="15.75" customHeight="1" s="59"/>
    <row r="654" ht="15.75" customHeight="1" s="59"/>
    <row r="655" ht="15.75" customHeight="1" s="59"/>
    <row r="656" ht="15.75" customHeight="1" s="59"/>
    <row r="657" ht="15.75" customHeight="1" s="59"/>
    <row r="658" ht="15.75" customHeight="1" s="59"/>
    <row r="659" ht="15.75" customHeight="1" s="59"/>
    <row r="660" ht="15.75" customHeight="1" s="59"/>
    <row r="661" ht="15.75" customHeight="1" s="59"/>
    <row r="662" ht="15.75" customHeight="1" s="59"/>
    <row r="663" ht="15.75" customHeight="1" s="59"/>
    <row r="664" ht="15.75" customHeight="1" s="59"/>
    <row r="665" ht="15.75" customHeight="1" s="59"/>
    <row r="666" ht="15.75" customHeight="1" s="59"/>
    <row r="667" ht="15.75" customHeight="1" s="59"/>
    <row r="668" ht="15.75" customHeight="1" s="59"/>
    <row r="669" ht="15.75" customHeight="1" s="59"/>
    <row r="670" ht="15.75" customHeight="1" s="59"/>
    <row r="671" ht="15.75" customHeight="1" s="59"/>
    <row r="672" ht="15.75" customHeight="1" s="59"/>
    <row r="673" ht="15.75" customHeight="1" s="59"/>
    <row r="674" ht="15.75" customHeight="1" s="59"/>
    <row r="675" ht="15.75" customHeight="1" s="59"/>
    <row r="676" ht="15.75" customHeight="1" s="59"/>
    <row r="677" ht="15.75" customHeight="1" s="59"/>
    <row r="678" ht="15.75" customHeight="1" s="59"/>
    <row r="679" ht="15.75" customHeight="1" s="59"/>
    <row r="680" ht="15.75" customHeight="1" s="59"/>
    <row r="681" ht="15.75" customHeight="1" s="59"/>
    <row r="682" ht="15.75" customHeight="1" s="59"/>
    <row r="683" ht="15.75" customHeight="1" s="59"/>
    <row r="684" ht="15.75" customHeight="1" s="59"/>
    <row r="685" ht="15.75" customHeight="1" s="59"/>
    <row r="686" ht="15.75" customHeight="1" s="59"/>
    <row r="687" ht="15.75" customHeight="1" s="59"/>
    <row r="688" ht="15.75" customHeight="1" s="59"/>
    <row r="689" ht="15.75" customHeight="1" s="59"/>
    <row r="690" ht="15.75" customHeight="1" s="59"/>
    <row r="691" ht="15.75" customHeight="1" s="59"/>
    <row r="692" ht="15.75" customHeight="1" s="59"/>
    <row r="693" ht="15.75" customHeight="1" s="59"/>
    <row r="694" ht="15.75" customHeight="1" s="59"/>
    <row r="695" ht="15.75" customHeight="1" s="59"/>
    <row r="696" ht="15.75" customHeight="1" s="59"/>
    <row r="697" ht="15.75" customHeight="1" s="59"/>
    <row r="698" ht="15.75" customHeight="1" s="59"/>
    <row r="699" ht="15.75" customHeight="1" s="59"/>
    <row r="700" ht="15.75" customHeight="1" s="59"/>
    <row r="701" ht="15.75" customHeight="1" s="59"/>
    <row r="702" ht="15.75" customHeight="1" s="59"/>
    <row r="703" ht="15.75" customHeight="1" s="59"/>
    <row r="704" ht="15.75" customHeight="1" s="59"/>
    <row r="705" ht="15.75" customHeight="1" s="59"/>
    <row r="706" ht="15.75" customHeight="1" s="59"/>
    <row r="707" ht="15.75" customHeight="1" s="59"/>
    <row r="708" ht="15.75" customHeight="1" s="59"/>
    <row r="709" ht="15.75" customHeight="1" s="59"/>
    <row r="710" ht="15.75" customHeight="1" s="59"/>
    <row r="711" ht="15.75" customHeight="1" s="59"/>
    <row r="712" ht="15.75" customHeight="1" s="59"/>
    <row r="713" ht="15.75" customHeight="1" s="59"/>
    <row r="714" ht="15.75" customHeight="1" s="59"/>
    <row r="715" ht="15.75" customHeight="1" s="59"/>
    <row r="716" ht="15.75" customHeight="1" s="59"/>
    <row r="717" ht="15.75" customHeight="1" s="59"/>
    <row r="718" ht="15.75" customHeight="1" s="59"/>
    <row r="719" ht="15.75" customHeight="1" s="59"/>
    <row r="720" ht="15.75" customHeight="1" s="59"/>
    <row r="721" ht="15.75" customHeight="1" s="59"/>
    <row r="722" ht="15.75" customHeight="1" s="59"/>
    <row r="723" ht="15.75" customHeight="1" s="59"/>
    <row r="724" ht="15.75" customHeight="1" s="59"/>
    <row r="725" ht="15.75" customHeight="1" s="59"/>
    <row r="726" ht="15.75" customHeight="1" s="59"/>
    <row r="727" ht="15.75" customHeight="1" s="59"/>
    <row r="728" ht="15.75" customHeight="1" s="59"/>
    <row r="729" ht="15.75" customHeight="1" s="59"/>
    <row r="730" ht="15.75" customHeight="1" s="59"/>
    <row r="731" ht="15.75" customHeight="1" s="59"/>
    <row r="732" ht="15.75" customHeight="1" s="59"/>
    <row r="733" ht="15.75" customHeight="1" s="59"/>
    <row r="734" ht="15.75" customHeight="1" s="59"/>
    <row r="735" ht="15.75" customHeight="1" s="59"/>
    <row r="736" ht="15.75" customHeight="1" s="59"/>
    <row r="737" ht="15.75" customHeight="1" s="59"/>
    <row r="738" ht="15.75" customHeight="1" s="59"/>
    <row r="739" ht="15.75" customHeight="1" s="59"/>
    <row r="740" ht="15.75" customHeight="1" s="59"/>
    <row r="741" ht="15.75" customHeight="1" s="59"/>
    <row r="742" ht="15.75" customHeight="1" s="59"/>
    <row r="743" ht="15.75" customHeight="1" s="59"/>
    <row r="744" ht="15.75" customHeight="1" s="59"/>
    <row r="745" ht="15.75" customHeight="1" s="59"/>
    <row r="746" ht="15.75" customHeight="1" s="59"/>
    <row r="747" ht="15.75" customHeight="1" s="59"/>
    <row r="748" ht="15.75" customHeight="1" s="59"/>
    <row r="749" ht="15.75" customHeight="1" s="59"/>
    <row r="750" ht="15.75" customHeight="1" s="59"/>
    <row r="751" ht="15.75" customHeight="1" s="59"/>
    <row r="752" ht="15.75" customHeight="1" s="59"/>
    <row r="753" ht="15.75" customHeight="1" s="59"/>
    <row r="754" ht="15.75" customHeight="1" s="59"/>
    <row r="755" ht="15.75" customHeight="1" s="59"/>
    <row r="756" ht="15.75" customHeight="1" s="59"/>
    <row r="757" ht="15.75" customHeight="1" s="59"/>
    <row r="758" ht="15.75" customHeight="1" s="59"/>
    <row r="759" ht="15.75" customHeight="1" s="59"/>
    <row r="760" ht="15.75" customHeight="1" s="59"/>
    <row r="761" ht="15.75" customHeight="1" s="59"/>
    <row r="762" ht="15.75" customHeight="1" s="59"/>
    <row r="763" ht="15.75" customHeight="1" s="59"/>
    <row r="764" ht="15.75" customHeight="1" s="59"/>
    <row r="765" ht="15.75" customHeight="1" s="59"/>
    <row r="766" ht="15.75" customHeight="1" s="59"/>
    <row r="767" ht="15.75" customHeight="1" s="59"/>
    <row r="768" ht="15.75" customHeight="1" s="59"/>
    <row r="769" ht="15.75" customHeight="1" s="59"/>
    <row r="770" ht="15.75" customHeight="1" s="59"/>
    <row r="771" ht="15.75" customHeight="1" s="59"/>
    <row r="772" ht="15.75" customHeight="1" s="59"/>
    <row r="773" ht="15.75" customHeight="1" s="59"/>
    <row r="774" ht="15.75" customHeight="1" s="59"/>
    <row r="775" ht="15.75" customHeight="1" s="59"/>
    <row r="776" ht="15.75" customHeight="1" s="59"/>
    <row r="777" ht="15.75" customHeight="1" s="59"/>
    <row r="778" ht="15.75" customHeight="1" s="59"/>
    <row r="779" ht="15.75" customHeight="1" s="59"/>
    <row r="780" ht="15.75" customHeight="1" s="59"/>
    <row r="781" ht="15.75" customHeight="1" s="59"/>
    <row r="782" ht="15.75" customHeight="1" s="59"/>
    <row r="783" ht="15.75" customHeight="1" s="59"/>
    <row r="784" ht="15.75" customHeight="1" s="59"/>
    <row r="785" ht="15.75" customHeight="1" s="59"/>
    <row r="786" ht="15.75" customHeight="1" s="59"/>
    <row r="787" ht="15.75" customHeight="1" s="59"/>
    <row r="788" ht="15.75" customHeight="1" s="59"/>
    <row r="789" ht="15.75" customHeight="1" s="59"/>
    <row r="790" ht="15.75" customHeight="1" s="59"/>
    <row r="791" ht="15.75" customHeight="1" s="59"/>
    <row r="792" ht="15.75" customHeight="1" s="59"/>
    <row r="793" ht="15.75" customHeight="1" s="59"/>
    <row r="794" ht="15.75" customHeight="1" s="59"/>
    <row r="795" ht="15.75" customHeight="1" s="59"/>
    <row r="796" ht="15.75" customHeight="1" s="59"/>
    <row r="797" ht="15.75" customHeight="1" s="59"/>
    <row r="798" ht="15.75" customHeight="1" s="59"/>
    <row r="799" ht="15.75" customHeight="1" s="59"/>
    <row r="800" ht="15.75" customHeight="1" s="59"/>
    <row r="801" ht="15.75" customHeight="1" s="59"/>
    <row r="802" ht="15.75" customHeight="1" s="59"/>
    <row r="803" ht="15.75" customHeight="1" s="59"/>
    <row r="804" ht="15.75" customHeight="1" s="59"/>
    <row r="805" ht="15.75" customHeight="1" s="59"/>
    <row r="806" ht="15.75" customHeight="1" s="59"/>
    <row r="807" ht="15.75" customHeight="1" s="59"/>
    <row r="808" ht="15.75" customHeight="1" s="59"/>
    <row r="809" ht="15.75" customHeight="1" s="59"/>
    <row r="810" ht="15.75" customHeight="1" s="59"/>
    <row r="811" ht="15.75" customHeight="1" s="59"/>
    <row r="812" ht="15.75" customHeight="1" s="59"/>
    <row r="813" ht="15.75" customHeight="1" s="59"/>
    <row r="814" ht="15.75" customHeight="1" s="59"/>
    <row r="815" ht="15.75" customHeight="1" s="59"/>
    <row r="816" ht="15.75" customHeight="1" s="59"/>
    <row r="817" ht="15.75" customHeight="1" s="59"/>
    <row r="818" ht="15.75" customHeight="1" s="59"/>
    <row r="819" ht="15.75" customHeight="1" s="59"/>
    <row r="820" ht="15.75" customHeight="1" s="59"/>
    <row r="821" ht="15.75" customHeight="1" s="59"/>
    <row r="822" ht="15.75" customHeight="1" s="59"/>
    <row r="823" ht="15.75" customHeight="1" s="59"/>
    <row r="824" ht="15.75" customHeight="1" s="59"/>
    <row r="825" ht="15.75" customHeight="1" s="59"/>
    <row r="826" ht="15.75" customHeight="1" s="59"/>
    <row r="827" ht="15.75" customHeight="1" s="59"/>
    <row r="828" ht="15.75" customHeight="1" s="59"/>
    <row r="829" ht="15.75" customHeight="1" s="59"/>
    <row r="830" ht="15.75" customHeight="1" s="59"/>
    <row r="831" ht="15.75" customHeight="1" s="59"/>
    <row r="832" ht="15.75" customHeight="1" s="59"/>
    <row r="833" ht="15.75" customHeight="1" s="59"/>
    <row r="834" ht="15.75" customHeight="1" s="59"/>
    <row r="835" ht="15.75" customHeight="1" s="59"/>
    <row r="836" ht="15.75" customHeight="1" s="59"/>
    <row r="837" ht="15.75" customHeight="1" s="59"/>
    <row r="838" ht="15.75" customHeight="1" s="59"/>
    <row r="839" ht="15.75" customHeight="1" s="59"/>
    <row r="840" ht="15.75" customHeight="1" s="59"/>
    <row r="841" ht="15.75" customHeight="1" s="59"/>
    <row r="842" ht="15.75" customHeight="1" s="59"/>
    <row r="843" ht="15.75" customHeight="1" s="59"/>
    <row r="844" ht="15.75" customHeight="1" s="59"/>
    <row r="845" ht="15.75" customHeight="1" s="59"/>
    <row r="846" ht="15.75" customHeight="1" s="59"/>
    <row r="847" ht="15.75" customHeight="1" s="59"/>
    <row r="848" ht="15.75" customHeight="1" s="59"/>
    <row r="849" ht="15.75" customHeight="1" s="59"/>
    <row r="850" ht="15.75" customHeight="1" s="59"/>
    <row r="851" ht="15.75" customHeight="1" s="59"/>
    <row r="852" ht="15.75" customHeight="1" s="59"/>
    <row r="853" ht="15.75" customHeight="1" s="59"/>
    <row r="854" ht="15.75" customHeight="1" s="59"/>
    <row r="855" ht="15.75" customHeight="1" s="59"/>
    <row r="856" ht="15.75" customHeight="1" s="59"/>
    <row r="857" ht="15.75" customHeight="1" s="59"/>
    <row r="858" ht="15.75" customHeight="1" s="59"/>
    <row r="859" ht="15.75" customHeight="1" s="59"/>
    <row r="860" ht="15.75" customHeight="1" s="59"/>
    <row r="861" ht="15.75" customHeight="1" s="59"/>
    <row r="862" ht="15.75" customHeight="1" s="59"/>
    <row r="863" ht="15.75" customHeight="1" s="59"/>
    <row r="864" ht="15.75" customHeight="1" s="59"/>
    <row r="865" ht="15.75" customHeight="1" s="59"/>
    <row r="866" ht="15.75" customHeight="1" s="59"/>
    <row r="867" ht="15.75" customHeight="1" s="59"/>
    <row r="868" ht="15.75" customHeight="1" s="59"/>
    <row r="869" ht="15.75" customHeight="1" s="59"/>
    <row r="870" ht="15.75" customHeight="1" s="59"/>
    <row r="871" ht="15.75" customHeight="1" s="59"/>
    <row r="872" ht="15.75" customHeight="1" s="59"/>
    <row r="873" ht="15.75" customHeight="1" s="59"/>
    <row r="874" ht="15.75" customHeight="1" s="59"/>
    <row r="875" ht="15.75" customHeight="1" s="59"/>
    <row r="876" ht="15.75" customHeight="1" s="59"/>
    <row r="877" ht="15.75" customHeight="1" s="59"/>
    <row r="878" ht="15.75" customHeight="1" s="59"/>
    <row r="879" ht="15.75" customHeight="1" s="59"/>
    <row r="880" ht="15.75" customHeight="1" s="59"/>
    <row r="881" ht="15.75" customHeight="1" s="59"/>
    <row r="882" ht="15.75" customHeight="1" s="59"/>
    <row r="883" ht="15.75" customHeight="1" s="59"/>
    <row r="884" ht="15.75" customHeight="1" s="59"/>
    <row r="885" ht="15.75" customHeight="1" s="59"/>
    <row r="886" ht="15.75" customHeight="1" s="59"/>
    <row r="887" ht="15.75" customHeight="1" s="59"/>
    <row r="888" ht="15.75" customHeight="1" s="59"/>
    <row r="889" ht="15.75" customHeight="1" s="59"/>
    <row r="890" ht="15.75" customHeight="1" s="59"/>
    <row r="891" ht="15.75" customHeight="1" s="59"/>
    <row r="892" ht="15.75" customHeight="1" s="59"/>
    <row r="893" ht="15.75" customHeight="1" s="59"/>
    <row r="894" ht="15.75" customHeight="1" s="59"/>
    <row r="895" ht="15.75" customHeight="1" s="59"/>
    <row r="896" ht="15.75" customHeight="1" s="59"/>
    <row r="897" ht="15.75" customHeight="1" s="59"/>
    <row r="898" ht="15.75" customHeight="1" s="59"/>
    <row r="899" ht="15.75" customHeight="1" s="59"/>
    <row r="900" ht="15.75" customHeight="1" s="59"/>
    <row r="901" ht="15.75" customHeight="1" s="59"/>
    <row r="902" ht="15.75" customHeight="1" s="59"/>
    <row r="903" ht="15.75" customHeight="1" s="59"/>
    <row r="904" ht="15.75" customHeight="1" s="59"/>
    <row r="905" ht="15.75" customHeight="1" s="59"/>
    <row r="906" ht="15.75" customHeight="1" s="59"/>
    <row r="907" ht="15.75" customHeight="1" s="59"/>
    <row r="908" ht="15.75" customHeight="1" s="59"/>
    <row r="909" ht="15.75" customHeight="1" s="59"/>
    <row r="910" ht="15.75" customHeight="1" s="59"/>
    <row r="911" ht="15.75" customHeight="1" s="59"/>
    <row r="912" ht="15.75" customHeight="1" s="59"/>
    <row r="913" ht="15.75" customHeight="1" s="59"/>
    <row r="914" ht="15.75" customHeight="1" s="59"/>
    <row r="915" ht="15.75" customHeight="1" s="59"/>
    <row r="916" ht="15.75" customHeight="1" s="59"/>
    <row r="917" ht="15.75" customHeight="1" s="59"/>
    <row r="918" ht="15.75" customHeight="1" s="59"/>
    <row r="919" ht="15.75" customHeight="1" s="59"/>
    <row r="920" ht="15.75" customHeight="1" s="59"/>
    <row r="921" ht="15.75" customHeight="1" s="59"/>
    <row r="922" ht="15.75" customHeight="1" s="59"/>
    <row r="923" ht="15.75" customHeight="1" s="59"/>
    <row r="924" ht="15.75" customHeight="1" s="59"/>
    <row r="925" ht="15.75" customHeight="1" s="59"/>
    <row r="926" ht="15.75" customHeight="1" s="59"/>
    <row r="927" ht="15.75" customHeight="1" s="59"/>
    <row r="928" ht="15.75" customHeight="1" s="59"/>
    <row r="929" ht="15.75" customHeight="1" s="59"/>
    <row r="930" ht="15.75" customHeight="1" s="59"/>
    <row r="931" ht="15.75" customHeight="1" s="59"/>
    <row r="932" ht="15.75" customHeight="1" s="59"/>
    <row r="933" ht="15.75" customHeight="1" s="59"/>
    <row r="934" ht="15.75" customHeight="1" s="59"/>
    <row r="935" ht="15.75" customHeight="1" s="59"/>
    <row r="936" ht="15.75" customHeight="1" s="59"/>
    <row r="937" ht="15.75" customHeight="1" s="59"/>
    <row r="938" ht="15.75" customHeight="1" s="59"/>
    <row r="939" ht="15.75" customHeight="1" s="59"/>
    <row r="940" ht="15.75" customHeight="1" s="59"/>
    <row r="941" ht="15.75" customHeight="1" s="59"/>
    <row r="942" ht="15.75" customHeight="1" s="59"/>
    <row r="943" ht="15.75" customHeight="1" s="59"/>
    <row r="944" ht="15.75" customHeight="1" s="59"/>
    <row r="945" ht="15.75" customHeight="1" s="59"/>
    <row r="946" ht="15.75" customHeight="1" s="59"/>
    <row r="947" ht="15.75" customHeight="1" s="59"/>
    <row r="948" ht="15.75" customHeight="1" s="59"/>
    <row r="949" ht="15.75" customHeight="1" s="59"/>
    <row r="950" ht="15.75" customHeight="1" s="59"/>
    <row r="951" ht="15.75" customHeight="1" s="59"/>
    <row r="952" ht="15.75" customHeight="1" s="59"/>
    <row r="953" ht="15.75" customHeight="1" s="59"/>
    <row r="954" ht="15.75" customHeight="1" s="59"/>
    <row r="955" ht="15.75" customHeight="1" s="59"/>
    <row r="956" ht="15.75" customHeight="1" s="59"/>
    <row r="957" ht="15.75" customHeight="1" s="59"/>
    <row r="958" ht="15.75" customHeight="1" s="59"/>
    <row r="959" ht="15.75" customHeight="1" s="59"/>
    <row r="960" ht="15.75" customHeight="1" s="59"/>
    <row r="961" ht="15.75" customHeight="1" s="59"/>
    <row r="962" ht="15.75" customHeight="1" s="59"/>
    <row r="963" ht="15.75" customHeight="1" s="59"/>
    <row r="964" ht="15.75" customHeight="1" s="59"/>
    <row r="965" ht="15.75" customHeight="1" s="59"/>
    <row r="966" ht="15.75" customHeight="1" s="59"/>
    <row r="967" ht="15.75" customHeight="1" s="59"/>
    <row r="968" ht="15.75" customHeight="1" s="59"/>
    <row r="969" ht="15.75" customHeight="1" s="59"/>
    <row r="970" ht="15.75" customHeight="1" s="59"/>
    <row r="971" ht="15.75" customHeight="1" s="59"/>
    <row r="972" ht="15.75" customHeight="1" s="59"/>
    <row r="973" ht="15.75" customHeight="1" s="59"/>
    <row r="974" ht="15.75" customHeight="1" s="59"/>
    <row r="975" ht="15.75" customHeight="1" s="59"/>
    <row r="976" ht="15.75" customHeight="1" s="59"/>
    <row r="977" ht="15.75" customHeight="1" s="59"/>
    <row r="978" ht="15.75" customHeight="1" s="59"/>
    <row r="979" ht="15.75" customHeight="1" s="59"/>
    <row r="980" ht="15.75" customHeight="1" s="59"/>
    <row r="981" ht="15.75" customHeight="1" s="59"/>
    <row r="982" ht="15.75" customHeight="1" s="59"/>
    <row r="983" ht="15.75" customHeight="1" s="59"/>
    <row r="984" ht="15.75" customHeight="1" s="59"/>
    <row r="985" ht="15.75" customHeight="1" s="59"/>
    <row r="986" ht="15.75" customHeight="1" s="59"/>
    <row r="987" ht="15.75" customHeight="1" s="59"/>
    <row r="988" ht="15.75" customHeight="1" s="59"/>
    <row r="989" ht="15.75" customHeight="1" s="59"/>
    <row r="990" ht="15.75" customHeight="1" s="59"/>
    <row r="991" ht="15.75" customHeight="1" s="59"/>
    <row r="992" ht="15.75" customHeight="1" s="59"/>
    <row r="993" ht="15.75" customHeight="1" s="59"/>
    <row r="994" ht="15.75" customHeight="1" s="59"/>
    <row r="995" ht="15.75" customHeight="1" s="59"/>
    <row r="996" ht="15.75" customHeight="1" s="59"/>
    <row r="997" ht="15.75" customHeight="1" s="59"/>
    <row r="998" ht="15.75" customHeight="1" s="59"/>
    <row r="999" ht="15.75" customHeight="1" s="59"/>
    <row r="1000" ht="15.75" customHeight="1" s="5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A60"/>
  <sheetViews>
    <sheetView tabSelected="1" workbookViewId="0">
      <pane xSplit="4" ySplit="4" topLeftCell="E5" activePane="bottomRight" state="frozen"/>
      <selection pane="topRight" activeCell="E1" sqref="E1"/>
      <selection pane="bottomLeft" activeCell="A5" sqref="A5"/>
      <selection pane="bottomRight" activeCell="D26" sqref="D26"/>
    </sheetView>
  </sheetViews>
  <sheetFormatPr baseColWidth="8" defaultColWidth="14.42578125" defaultRowHeight="15" customHeight="1"/>
  <cols>
    <col width="5" customWidth="1" style="59" min="1" max="1"/>
    <col width="14" customWidth="1" style="59" min="2" max="3"/>
    <col width="46" customWidth="1" style="59" min="4" max="4"/>
    <col width="8" customWidth="1" style="59" min="5" max="8"/>
    <col width="14" customWidth="1" style="59" min="9" max="9"/>
    <col width="13" customWidth="1" style="59" min="10" max="11"/>
    <col width="12" customWidth="1" style="59" min="12" max="13"/>
    <col width="13" customWidth="1" style="59" min="14" max="14"/>
    <col width="12" customWidth="1" style="59" min="15" max="15"/>
    <col width="13" customWidth="1" style="59" min="16" max="16"/>
    <col width="14" customWidth="1" style="59" min="17" max="17"/>
    <col width="16" customWidth="1" style="59" min="18" max="18"/>
    <col width="10" customWidth="1" style="59" min="19" max="19"/>
    <col width="9" customWidth="1" style="59" min="20" max="20"/>
    <col width="24" customWidth="1" style="59" min="21" max="21"/>
    <col width="14" customWidth="1" style="59" min="22" max="22"/>
    <col width="13" customWidth="1" style="59" min="23" max="23"/>
    <col width="44" customWidth="1" style="59" min="24" max="24"/>
    <col width="11" customWidth="1" style="59" min="25" max="26"/>
    <col width="13" customWidth="1" style="59" min="27" max="27"/>
  </cols>
  <sheetData>
    <row r="1" ht="15.75" customHeight="1" s="59">
      <c r="A1" s="1" t="inlineStr">
        <is>
          <t>LIVING IKON BOM TRACKER: ITEM LIST AND COST ROLL-UP (LEXI, NEW HOI AN, SIENNA catalogues 2026)</t>
        </is>
      </c>
    </row>
    <row r="2">
      <c r="A2" s="2" t="inlineStr">
        <is>
          <t>One tab per item, tab name = ITEM CODE exactly as in column C. Columns J to T, Y and Z fill by themselves from the item tab. Codes, names and sizes are as printed in the catalogues (L = length or width, W = width or depth). Blue = type or correct here.</t>
        </is>
      </c>
    </row>
    <row r="4" ht="42" customHeight="1" s="59">
      <c r="A4" s="8" t="inlineStr">
        <is>
          <t>NO</t>
        </is>
      </c>
      <c r="B4" s="8" t="inlineStr">
        <is>
          <t>COLLECTION</t>
        </is>
      </c>
      <c r="C4" s="8" t="inlineStr">
        <is>
          <t>ITEM CODE (= tab name)</t>
        </is>
      </c>
      <c r="D4" s="8" t="inlineStr">
        <is>
          <t>ITEM NAME</t>
        </is>
      </c>
      <c r="E4" s="8" t="inlineStr">
        <is>
          <t>L mm</t>
        </is>
      </c>
      <c r="F4" s="8" t="inlineStr">
        <is>
          <t>W mm</t>
        </is>
      </c>
      <c r="G4" s="8" t="inlineStr">
        <is>
          <t>H mm</t>
        </is>
      </c>
      <c r="H4" s="8" t="inlineStr">
        <is>
          <t>ORDER QTY</t>
        </is>
      </c>
      <c r="I4" s="8" t="inlineStr">
        <is>
          <t>DRAWING LINK</t>
        </is>
      </c>
      <c r="J4" s="8" t="inlineStr">
        <is>
          <t>STATUS</t>
        </is>
      </c>
      <c r="K4" s="8" t="inlineStr">
        <is>
          <t>TIMBER + FASTENERS</t>
        </is>
      </c>
      <c r="L4" s="8" t="inlineStr">
        <is>
          <t>PANELS</t>
        </is>
      </c>
      <c r="M4" s="8" t="inlineStr">
        <is>
          <t>FINISHING (4 lines)</t>
        </is>
      </c>
      <c r="N4" s="8" t="inlineStr">
        <is>
          <t>HARDWARE &amp; BOUGHT-IN</t>
        </is>
      </c>
      <c r="O4" s="8" t="inlineStr">
        <is>
          <t>PACKING</t>
        </is>
      </c>
      <c r="P4" s="8" t="inlineStr">
        <is>
          <t>MISC 4%</t>
        </is>
      </c>
      <c r="Q4" s="8" t="inlineStr">
        <is>
          <t>DIRECT COST IDR (HPP)</t>
        </is>
      </c>
      <c r="R4" s="8" t="inlineStr">
        <is>
          <t>ORDER TOTAL IDR</t>
        </is>
      </c>
      <c r="S4" s="8" t="inlineStr">
        <is>
          <t>CARTON m³ / unit</t>
        </is>
      </c>
      <c r="T4" s="8" t="inlineStr">
        <is>
          <t>OPEN CHECKS</t>
        </is>
      </c>
      <c r="U4" s="8" t="inlineStr">
        <is>
          <t>COSTED BY / NOTE</t>
        </is>
      </c>
      <c r="V4" s="8" t="inlineStr">
        <is>
          <t>CATALOGUE LINK</t>
        </is>
      </c>
      <c r="W4" s="8" t="inlineStr">
        <is>
          <t>ROOM</t>
        </is>
      </c>
      <c r="X4" s="8" t="inlineStr">
        <is>
          <t>CATALOGUE MATERIAL / FINISH</t>
        </is>
      </c>
      <c r="Y4" s="8" t="inlineStr">
        <is>
          <t>SOLID WOOD m³ / unit</t>
        </is>
      </c>
      <c r="Z4" s="8" t="inlineStr">
        <is>
          <t>FINISHING m² / unit</t>
        </is>
      </c>
      <c r="AA4" s="8" t="inlineStr">
        <is>
          <t>PANELS + HARDWARE (status check)</t>
        </is>
      </c>
    </row>
    <row r="5">
      <c r="A5" s="4" t="n"/>
      <c r="B5" s="3" t="n"/>
      <c r="C5" s="4" t="n"/>
      <c r="D5" s="4" t="n"/>
      <c r="E5" s="4" t="n"/>
      <c r="F5" s="4" t="n"/>
      <c r="G5" s="4" t="n"/>
      <c r="H5" s="4" t="n"/>
      <c r="I5" s="4" t="n"/>
      <c r="J5" s="11" t="n"/>
      <c r="K5" s="12" t="n"/>
      <c r="L5" s="12" t="n"/>
      <c r="M5" s="12" t="n"/>
      <c r="N5" s="12" t="n"/>
      <c r="O5" s="12" t="n"/>
      <c r="P5" s="12" t="n"/>
      <c r="Q5" s="16" t="n"/>
      <c r="R5" s="12" t="n"/>
      <c r="S5" s="18" t="n"/>
      <c r="T5" s="11" t="n"/>
      <c r="U5" s="10" t="n"/>
      <c r="V5" s="10" t="n"/>
      <c r="W5" s="10" t="n"/>
      <c r="X5" s="10" t="n"/>
      <c r="Y5" s="20" t="n"/>
      <c r="Z5" s="21" t="n"/>
      <c r="AA5" s="12" t="n"/>
    </row>
    <row r="6">
      <c r="A6" s="9" t="n">
        <v>1</v>
      </c>
      <c r="B6" s="10" t="inlineStr">
        <is>
          <t>NEW HOI AN</t>
        </is>
      </c>
      <c r="C6" s="10" t="inlineStr">
        <is>
          <t>LV453-B61</t>
        </is>
      </c>
      <c r="D6" s="10" t="inlineStr">
        <is>
          <t>DRESSER 6 DRAWERS</t>
        </is>
      </c>
      <c r="E6" s="10" t="n">
        <v>1500</v>
      </c>
      <c r="F6" s="10" t="n">
        <v>450</v>
      </c>
      <c r="G6" s="10" t="n">
        <v>820</v>
      </c>
      <c r="H6" s="10" t="n">
        <v>1</v>
      </c>
      <c r="I6" s="10" t="inlineStr">
        <is>
          <t>LV453 - B61 - DRESSER 6 DRAWERS.pdf</t>
        </is>
      </c>
      <c r="J6" s="11">
        <f>IF($C6="","",IF(ISERROR(INDIRECT("'"&amp;$C6&amp;"'!C1")),"no tab yet",IF(N(Y6)+N(AA6)=0,"tab empty",IF(N(T6)&gt;0,"check inputs","costed"))))</f>
        <v/>
      </c>
      <c r="K6" s="12">
        <f>IF(OR($J6="",$J6="no tab yet",$J6="tab empty"),"",IFERROR(INDIRECT("'"&amp;$C6&amp;"'!D87")+INDIRECT("'"&amp;$C6&amp;"'!D88"),""))</f>
        <v/>
      </c>
      <c r="L6" s="12">
        <f>IF(OR($J6="",$J6="no tab yet",$J6="tab empty"),"",IFERROR(INDIRECT("'"&amp;$C6&amp;"'!D89")+0,""))</f>
        <v/>
      </c>
      <c r="M6" s="12">
        <f>IF(OR($J6="",$J6="no tab yet",$J6="tab empty"),"",IFERROR(SUM(INDIRECT("'"&amp;$C6&amp;"'!D90:D93")),""))</f>
        <v/>
      </c>
      <c r="N6" s="12">
        <f>IF(OR($J6="",$J6="no tab yet",$J6="tab empty"),"",IFERROR(INDIRECT("'"&amp;$C6&amp;"'!D94")+0,""))</f>
        <v/>
      </c>
      <c r="O6" s="12">
        <f>IF(OR($J6="",$J6="no tab yet",$J6="tab empty"),"",IFERROR(INDIRECT("'"&amp;$C6&amp;"'!D95")+0,""))</f>
        <v/>
      </c>
      <c r="P6" s="12">
        <f>IF(OR($J6="",$J6="no tab yet",$J6="tab empty"),"",IFERROR(INDIRECT("'"&amp;$C6&amp;"'!D97"),""))</f>
        <v/>
      </c>
      <c r="Q6" s="16">
        <f>IF(OR($J6="",$J6="no tab yet",$J6="tab empty"),"",IFERROR(INDIRECT("'"&amp;$C6&amp;"'!D98")+0,""))</f>
        <v/>
      </c>
      <c r="R6" s="12">
        <f>IF(AND(ISNUMBER(H6),ISNUMBER(Q6)),H6*Q6,"")</f>
        <v/>
      </c>
      <c r="S6" s="18">
        <f>IFERROR(INDIRECT("'"&amp;$C6&amp;"'!D86")+0,"")</f>
        <v/>
      </c>
      <c r="T6" s="11">
        <f>IFERROR(INDIRECT("'"&amp;$C6&amp;"'!D102")+0,"")</f>
        <v/>
      </c>
      <c r="U6" s="10" t="n"/>
      <c r="V6" s="10" t="n"/>
      <c r="W6" s="10" t="n"/>
      <c r="X6" s="10" t="n"/>
      <c r="Y6" s="20">
        <f>IFERROR(INDIRECT("'"&amp;$C6&amp;"'!D82")+0,"")</f>
        <v/>
      </c>
      <c r="Z6" s="21">
        <f>IFERROR(INDIRECT("'"&amp;$C6&amp;"'!D84")+0,"")</f>
        <v/>
      </c>
      <c r="AA6" s="12">
        <f>IFERROR(INDIRECT("'"&amp;$C6&amp;"'!D89")+INDIRECT("'"&amp;$C6&amp;"'!D94"),"")</f>
        <v/>
      </c>
    </row>
    <row r="7">
      <c r="A7" s="9" t="n"/>
      <c r="B7" s="10" t="n"/>
      <c r="C7" s="10" t="n"/>
      <c r="D7" s="10" t="n"/>
      <c r="E7" s="10" t="n"/>
      <c r="F7" s="10" t="n"/>
      <c r="G7" s="10" t="n"/>
      <c r="H7" s="10" t="n"/>
      <c r="I7" s="10" t="n"/>
      <c r="J7" s="11" t="n"/>
      <c r="K7" s="12" t="n"/>
      <c r="L7" s="12" t="n"/>
      <c r="M7" s="12" t="n"/>
      <c r="N7" s="12" t="n"/>
      <c r="O7" s="12" t="n"/>
      <c r="P7" s="12" t="n"/>
      <c r="Q7" s="16" t="n"/>
      <c r="R7" s="12" t="n"/>
      <c r="S7" s="18" t="n"/>
      <c r="T7" s="11" t="n"/>
      <c r="U7" s="10" t="n"/>
      <c r="V7" s="10" t="n"/>
      <c r="W7" s="10" t="n"/>
      <c r="X7" s="10" t="n"/>
      <c r="Y7" s="20" t="n"/>
      <c r="Z7" s="21" t="n"/>
      <c r="AA7" s="12" t="n"/>
    </row>
    <row r="8">
      <c r="A8" s="9" t="n"/>
      <c r="B8" s="10" t="n"/>
      <c r="C8" s="10" t="n"/>
      <c r="D8" s="10" t="n"/>
      <c r="E8" s="10" t="n"/>
      <c r="F8" s="10" t="n"/>
      <c r="G8" s="10" t="n"/>
      <c r="H8" s="10" t="n"/>
      <c r="I8" s="10" t="n"/>
      <c r="J8" s="11" t="n"/>
      <c r="K8" s="12" t="n"/>
      <c r="L8" s="12" t="n"/>
      <c r="M8" s="12" t="n"/>
      <c r="N8" s="12" t="n"/>
      <c r="O8" s="12" t="n"/>
      <c r="P8" s="12" t="n"/>
      <c r="Q8" s="16" t="n"/>
      <c r="R8" s="12" t="n"/>
      <c r="S8" s="18" t="n"/>
      <c r="T8" s="11" t="n"/>
      <c r="U8" s="10" t="n"/>
      <c r="V8" s="10" t="n"/>
      <c r="W8" s="10" t="n"/>
      <c r="X8" s="10" t="n"/>
      <c r="Y8" s="20" t="n"/>
      <c r="Z8" s="21" t="n"/>
      <c r="AA8" s="12" t="n"/>
    </row>
    <row r="9">
      <c r="A9" s="9" t="n"/>
      <c r="B9" s="10" t="n"/>
      <c r="C9" s="10" t="n"/>
      <c r="D9" s="10" t="n"/>
      <c r="E9" s="10" t="n"/>
      <c r="F9" s="10" t="n"/>
      <c r="G9" s="10" t="n"/>
      <c r="H9" s="10" t="n"/>
      <c r="I9" s="10" t="n"/>
      <c r="J9" s="11" t="n"/>
      <c r="K9" s="12" t="n"/>
      <c r="L9" s="12" t="n"/>
      <c r="M9" s="12" t="n"/>
      <c r="N9" s="12" t="n"/>
      <c r="O9" s="12" t="n"/>
      <c r="P9" s="12" t="n"/>
      <c r="Q9" s="16" t="n"/>
      <c r="R9" s="12" t="n"/>
      <c r="S9" s="18" t="n"/>
      <c r="T9" s="11" t="n"/>
      <c r="U9" s="10" t="n"/>
      <c r="V9" s="10" t="n"/>
      <c r="W9" s="10" t="n"/>
      <c r="X9" s="10" t="n"/>
      <c r="Y9" s="20" t="n"/>
      <c r="Z9" s="21" t="n"/>
      <c r="AA9" s="12" t="n"/>
    </row>
    <row r="10">
      <c r="A10" s="9" t="n"/>
      <c r="B10" s="10" t="n"/>
      <c r="C10" s="10" t="n"/>
      <c r="D10" s="10" t="n"/>
      <c r="E10" s="10" t="n"/>
      <c r="F10" s="10" t="n"/>
      <c r="G10" s="10" t="n"/>
      <c r="H10" s="10" t="n"/>
      <c r="I10" s="10" t="n"/>
      <c r="J10" s="11" t="n"/>
      <c r="K10" s="12" t="n"/>
      <c r="L10" s="12" t="n"/>
      <c r="M10" s="12" t="n"/>
      <c r="N10" s="12" t="n"/>
      <c r="O10" s="12" t="n"/>
      <c r="P10" s="12" t="n"/>
      <c r="Q10" s="16" t="n"/>
      <c r="R10" s="12" t="n"/>
      <c r="S10" s="18" t="n"/>
      <c r="T10" s="11" t="n"/>
      <c r="U10" s="10" t="n"/>
      <c r="V10" s="10" t="n"/>
      <c r="W10" s="10" t="n"/>
      <c r="X10" s="10" t="n"/>
      <c r="Y10" s="20" t="n"/>
      <c r="Z10" s="21" t="n"/>
      <c r="AA10" s="12" t="n"/>
    </row>
    <row r="11">
      <c r="A11" s="9" t="n"/>
      <c r="B11" s="10" t="n"/>
      <c r="C11" s="10" t="n"/>
      <c r="D11" s="10" t="n"/>
      <c r="E11" s="10" t="n"/>
      <c r="F11" s="10" t="n"/>
      <c r="G11" s="10" t="n"/>
      <c r="H11" s="10" t="n"/>
      <c r="I11" s="10" t="n"/>
      <c r="J11" s="11" t="n"/>
      <c r="K11" s="12" t="n"/>
      <c r="L11" s="12" t="n"/>
      <c r="M11" s="12" t="n"/>
      <c r="N11" s="12" t="n"/>
      <c r="O11" s="12" t="n"/>
      <c r="P11" s="12" t="n"/>
      <c r="Q11" s="16" t="n"/>
      <c r="R11" s="12" t="n"/>
      <c r="S11" s="18" t="n"/>
      <c r="T11" s="11" t="n"/>
      <c r="U11" s="10" t="n"/>
      <c r="V11" s="10" t="n"/>
      <c r="W11" s="10" t="n"/>
      <c r="X11" s="10" t="n"/>
      <c r="Y11" s="20" t="n"/>
      <c r="Z11" s="21" t="n"/>
      <c r="AA11" s="12" t="n"/>
    </row>
    <row r="12">
      <c r="A12" s="9" t="n"/>
      <c r="B12" s="10" t="n"/>
      <c r="C12" s="10" t="n"/>
      <c r="D12" s="10" t="n"/>
      <c r="E12" s="10" t="n"/>
      <c r="F12" s="10" t="n"/>
      <c r="G12" s="10" t="n"/>
      <c r="H12" s="10" t="n"/>
      <c r="I12" s="10" t="n"/>
      <c r="J12" s="11" t="n"/>
      <c r="K12" s="12" t="n"/>
      <c r="L12" s="12" t="n"/>
      <c r="M12" s="12" t="n"/>
      <c r="N12" s="12" t="n"/>
      <c r="O12" s="12" t="n"/>
      <c r="P12" s="12" t="n"/>
      <c r="Q12" s="16" t="n"/>
      <c r="R12" s="12" t="n"/>
      <c r="S12" s="18" t="n"/>
      <c r="T12" s="11" t="n"/>
      <c r="U12" s="10" t="n"/>
      <c r="V12" s="10" t="n"/>
      <c r="W12" s="10" t="n"/>
      <c r="X12" s="10" t="n"/>
      <c r="Y12" s="20" t="n"/>
      <c r="Z12" s="21" t="n"/>
      <c r="AA12" s="12" t="n"/>
    </row>
    <row r="13">
      <c r="A13" s="9" t="n"/>
      <c r="B13" s="10" t="n"/>
      <c r="C13" s="10" t="n"/>
      <c r="D13" s="10" t="n"/>
      <c r="E13" s="10" t="n"/>
      <c r="F13" s="10" t="n"/>
      <c r="G13" s="10" t="n"/>
      <c r="H13" s="10" t="n"/>
      <c r="I13" s="10" t="n"/>
      <c r="J13" s="11" t="n"/>
      <c r="K13" s="12" t="n"/>
      <c r="L13" s="12" t="n"/>
      <c r="M13" s="12" t="n"/>
      <c r="N13" s="12" t="n"/>
      <c r="O13" s="12" t="n"/>
      <c r="P13" s="12" t="n"/>
      <c r="Q13" s="16" t="n"/>
      <c r="R13" s="12" t="n"/>
      <c r="S13" s="18" t="n"/>
      <c r="T13" s="11" t="n"/>
      <c r="U13" s="10" t="n"/>
      <c r="V13" s="10" t="n"/>
      <c r="W13" s="10" t="n"/>
      <c r="X13" s="10" t="n"/>
      <c r="Y13" s="20" t="n"/>
      <c r="Z13" s="21" t="n"/>
      <c r="AA13" s="12" t="n"/>
    </row>
    <row r="14">
      <c r="A14" s="9" t="n"/>
      <c r="B14" s="10" t="n"/>
      <c r="C14" s="10" t="n"/>
      <c r="D14" s="10" t="n"/>
      <c r="E14" s="10" t="n"/>
      <c r="F14" s="10" t="n"/>
      <c r="G14" s="10" t="n"/>
      <c r="H14" s="10" t="n"/>
      <c r="I14" s="10" t="n"/>
      <c r="J14" s="11" t="n"/>
      <c r="K14" s="12" t="n"/>
      <c r="L14" s="12" t="n"/>
      <c r="M14" s="12" t="n"/>
      <c r="N14" s="12" t="n"/>
      <c r="O14" s="12" t="n"/>
      <c r="P14" s="12" t="n"/>
      <c r="Q14" s="16" t="n"/>
      <c r="R14" s="12" t="n"/>
      <c r="S14" s="18" t="n"/>
      <c r="T14" s="11" t="n"/>
      <c r="U14" s="10" t="n"/>
      <c r="V14" s="10" t="n"/>
      <c r="W14" s="10" t="n"/>
      <c r="X14" s="10" t="n"/>
      <c r="Y14" s="20" t="n"/>
      <c r="Z14" s="21" t="n"/>
      <c r="AA14" s="12" t="n"/>
    </row>
    <row r="15">
      <c r="A15" s="9" t="n"/>
      <c r="B15" s="10" t="n"/>
      <c r="C15" s="10" t="n"/>
      <c r="D15" s="10" t="n"/>
      <c r="E15" s="10" t="n"/>
      <c r="F15" s="10" t="n"/>
      <c r="G15" s="10" t="n"/>
      <c r="H15" s="10" t="n"/>
      <c r="I15" s="10" t="n"/>
      <c r="J15" s="11" t="n"/>
      <c r="K15" s="12" t="n"/>
      <c r="L15" s="12" t="n"/>
      <c r="M15" s="12" t="n"/>
      <c r="N15" s="12" t="n"/>
      <c r="O15" s="12" t="n"/>
      <c r="P15" s="12" t="n"/>
      <c r="Q15" s="16" t="n"/>
      <c r="R15" s="12" t="n"/>
      <c r="S15" s="18" t="n"/>
      <c r="T15" s="11" t="n"/>
      <c r="U15" s="10" t="n"/>
      <c r="V15" s="10" t="n"/>
      <c r="W15" s="10" t="n"/>
      <c r="X15" s="10" t="n"/>
      <c r="Y15" s="20" t="n"/>
      <c r="Z15" s="21" t="n"/>
      <c r="AA15" s="12" t="n"/>
    </row>
    <row r="16">
      <c r="A16" s="9" t="n"/>
      <c r="B16" s="10" t="n"/>
      <c r="C16" s="10" t="n"/>
      <c r="D16" s="10" t="n"/>
      <c r="E16" s="10" t="n"/>
      <c r="F16" s="10" t="n"/>
      <c r="G16" s="10" t="n"/>
      <c r="H16" s="10" t="n"/>
      <c r="I16" s="10" t="n"/>
      <c r="J16" s="11" t="n"/>
      <c r="K16" s="12" t="n"/>
      <c r="L16" s="12" t="n"/>
      <c r="M16" s="12" t="n"/>
      <c r="N16" s="12" t="n"/>
      <c r="O16" s="12" t="n"/>
      <c r="P16" s="12" t="n"/>
      <c r="Q16" s="16" t="n"/>
      <c r="R16" s="12" t="n"/>
      <c r="S16" s="18" t="n"/>
      <c r="T16" s="11" t="n"/>
      <c r="U16" s="10" t="n"/>
      <c r="V16" s="10" t="n"/>
      <c r="W16" s="10" t="n"/>
      <c r="X16" s="10" t="n"/>
      <c r="Y16" s="20" t="n"/>
      <c r="Z16" s="21" t="n"/>
      <c r="AA16" s="12" t="n"/>
    </row>
    <row r="17">
      <c r="A17" s="9" t="n"/>
      <c r="B17" s="10" t="n"/>
      <c r="C17" s="10" t="n"/>
      <c r="D17" s="10" t="n"/>
      <c r="E17" s="10" t="n"/>
      <c r="F17" s="10" t="n"/>
      <c r="G17" s="10" t="n"/>
      <c r="H17" s="10" t="n"/>
      <c r="I17" s="10" t="n"/>
      <c r="J17" s="11" t="n"/>
      <c r="K17" s="12" t="n"/>
      <c r="L17" s="12" t="n"/>
      <c r="M17" s="12" t="n"/>
      <c r="N17" s="12" t="n"/>
      <c r="O17" s="12" t="n"/>
      <c r="P17" s="12" t="n"/>
      <c r="Q17" s="16" t="n"/>
      <c r="R17" s="12" t="n"/>
      <c r="S17" s="18" t="n"/>
      <c r="T17" s="11" t="n"/>
      <c r="U17" s="10" t="n"/>
      <c r="V17" s="10" t="n"/>
      <c r="W17" s="10" t="n"/>
      <c r="X17" s="10" t="n"/>
      <c r="Y17" s="20" t="n"/>
      <c r="Z17" s="21" t="n"/>
      <c r="AA17" s="12" t="n"/>
    </row>
    <row r="18">
      <c r="A18" s="9" t="n"/>
      <c r="B18" s="10" t="n"/>
      <c r="C18" s="10" t="n"/>
      <c r="D18" s="10" t="n"/>
      <c r="E18" s="10" t="n"/>
      <c r="F18" s="10" t="n"/>
      <c r="G18" s="10" t="n"/>
      <c r="H18" s="10" t="n"/>
      <c r="I18" s="10" t="n"/>
      <c r="J18" s="11" t="n"/>
      <c r="K18" s="12" t="n"/>
      <c r="L18" s="12" t="n"/>
      <c r="M18" s="12" t="n"/>
      <c r="N18" s="12" t="n"/>
      <c r="O18" s="12" t="n"/>
      <c r="P18" s="12" t="n"/>
      <c r="Q18" s="16" t="n"/>
      <c r="R18" s="12" t="n"/>
      <c r="S18" s="18" t="n"/>
      <c r="T18" s="11" t="n"/>
      <c r="U18" s="10" t="n"/>
      <c r="V18" s="10" t="n"/>
      <c r="W18" s="10" t="n"/>
      <c r="X18" s="10" t="n"/>
      <c r="Y18" s="20" t="n"/>
      <c r="Z18" s="21" t="n"/>
      <c r="AA18" s="12" t="n"/>
    </row>
    <row r="19">
      <c r="A19" s="9" t="n"/>
      <c r="B19" s="10" t="n"/>
      <c r="C19" s="10" t="n"/>
      <c r="D19" s="10" t="n"/>
      <c r="E19" s="10" t="n"/>
      <c r="F19" s="10" t="n"/>
      <c r="G19" s="10" t="n"/>
      <c r="H19" s="10" t="n"/>
      <c r="I19" s="10" t="n"/>
      <c r="J19" s="11" t="n"/>
      <c r="K19" s="12" t="n"/>
      <c r="L19" s="12" t="n"/>
      <c r="M19" s="12" t="n"/>
      <c r="N19" s="12" t="n"/>
      <c r="O19" s="12" t="n"/>
      <c r="P19" s="12" t="n"/>
      <c r="Q19" s="16" t="n"/>
      <c r="R19" s="12" t="n"/>
      <c r="S19" s="18" t="n"/>
      <c r="T19" s="11" t="n"/>
      <c r="U19" s="10" t="n"/>
      <c r="V19" s="10" t="n"/>
      <c r="W19" s="10" t="n"/>
      <c r="X19" s="10" t="n"/>
      <c r="Y19" s="20" t="n"/>
      <c r="Z19" s="21" t="n"/>
      <c r="AA19" s="12" t="n"/>
    </row>
    <row r="20">
      <c r="A20" s="9" t="n"/>
      <c r="B20" s="10" t="n"/>
      <c r="C20" s="10" t="n"/>
      <c r="D20" s="10" t="n"/>
      <c r="E20" s="10" t="n"/>
      <c r="F20" s="10" t="n"/>
      <c r="G20" s="10" t="n"/>
      <c r="H20" s="10" t="n"/>
      <c r="I20" s="10" t="n"/>
      <c r="J20" s="11" t="n"/>
      <c r="K20" s="12" t="n"/>
      <c r="L20" s="12" t="n"/>
      <c r="M20" s="12" t="n"/>
      <c r="N20" s="12" t="n"/>
      <c r="O20" s="12" t="n"/>
      <c r="P20" s="12" t="n"/>
      <c r="Q20" s="16" t="n"/>
      <c r="R20" s="12" t="n"/>
      <c r="S20" s="18" t="n"/>
      <c r="T20" s="11" t="n"/>
      <c r="U20" s="10" t="n"/>
      <c r="V20" s="10" t="n"/>
      <c r="W20" s="10" t="n"/>
      <c r="X20" s="10" t="n"/>
      <c r="Y20" s="20" t="n"/>
      <c r="Z20" s="21" t="n"/>
      <c r="AA20" s="12" t="n"/>
    </row>
    <row r="21" ht="15.75" customHeight="1" s="59">
      <c r="A21" s="9" t="n"/>
      <c r="B21" s="10" t="n"/>
      <c r="C21" s="10" t="n"/>
      <c r="D21" s="10" t="n"/>
      <c r="E21" s="10" t="n"/>
      <c r="F21" s="10" t="n"/>
      <c r="G21" s="10" t="n"/>
      <c r="H21" s="10" t="n"/>
      <c r="I21" s="10" t="n"/>
      <c r="J21" s="11" t="n"/>
      <c r="K21" s="12" t="n"/>
      <c r="L21" s="12" t="n"/>
      <c r="M21" s="12" t="n"/>
      <c r="N21" s="12" t="n"/>
      <c r="O21" s="12" t="n"/>
      <c r="P21" s="12" t="n"/>
      <c r="Q21" s="16" t="n"/>
      <c r="R21" s="12" t="n"/>
      <c r="S21" s="18" t="n"/>
      <c r="T21" s="11" t="n"/>
      <c r="U21" s="10" t="n"/>
      <c r="V21" s="10" t="n"/>
      <c r="W21" s="10" t="n"/>
      <c r="X21" s="10" t="n"/>
      <c r="Y21" s="20" t="n"/>
      <c r="Z21" s="21" t="n"/>
      <c r="AA21" s="12" t="n"/>
    </row>
    <row r="22" ht="15.75" customHeight="1" s="59">
      <c r="A22" s="4" t="n"/>
      <c r="B22" s="3"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s="59">
      <c r="A23" s="9" t="n"/>
      <c r="B23" s="10" t="n"/>
      <c r="C23" s="10" t="n"/>
      <c r="D23" s="10" t="n"/>
      <c r="E23" s="10" t="n"/>
      <c r="F23" s="10" t="n"/>
      <c r="G23" s="10" t="n"/>
      <c r="H23" s="10" t="n"/>
      <c r="I23" s="10" t="n"/>
      <c r="J23" s="11" t="n"/>
      <c r="K23" s="12" t="n"/>
      <c r="L23" s="12" t="n"/>
      <c r="M23" s="12" t="n"/>
      <c r="N23" s="12" t="n"/>
      <c r="O23" s="12" t="n"/>
      <c r="P23" s="12" t="n"/>
      <c r="Q23" s="16" t="n"/>
      <c r="R23" s="12" t="n"/>
      <c r="S23" s="18" t="n"/>
      <c r="T23" s="11" t="n"/>
      <c r="U23" s="10" t="n"/>
      <c r="V23" s="10" t="n"/>
      <c r="W23" s="10" t="n"/>
      <c r="X23" s="10" t="n"/>
      <c r="Y23" s="20" t="n"/>
      <c r="Z23" s="21" t="n"/>
      <c r="AA23" s="12" t="n"/>
    </row>
    <row r="24" ht="15.75" customHeight="1" s="59">
      <c r="A24" s="9" t="n"/>
      <c r="B24" s="10" t="n"/>
      <c r="C24" s="10" t="n"/>
      <c r="D24" s="10" t="n"/>
      <c r="E24" s="10" t="n"/>
      <c r="F24" s="10" t="n"/>
      <c r="G24" s="10" t="n"/>
      <c r="H24" s="10" t="n"/>
      <c r="I24" s="10" t="n"/>
      <c r="J24" s="11" t="n"/>
      <c r="K24" s="12" t="n"/>
      <c r="L24" s="12" t="n"/>
      <c r="M24" s="12" t="n"/>
      <c r="N24" s="12" t="n"/>
      <c r="O24" s="12" t="n"/>
      <c r="P24" s="12" t="n"/>
      <c r="Q24" s="16" t="n"/>
      <c r="R24" s="12" t="n"/>
      <c r="S24" s="18" t="n"/>
      <c r="T24" s="11" t="n"/>
      <c r="U24" s="10" t="n"/>
      <c r="V24" s="10" t="n"/>
      <c r="W24" s="10" t="n"/>
      <c r="X24" s="10" t="n"/>
      <c r="Y24" s="20" t="n"/>
      <c r="Z24" s="21" t="n"/>
      <c r="AA24" s="12" t="n"/>
    </row>
    <row r="25" ht="15.75" customHeight="1" s="59">
      <c r="A25" s="9" t="n"/>
      <c r="B25" s="10" t="n"/>
      <c r="C25" s="10" t="n"/>
      <c r="D25" s="10" t="n"/>
      <c r="E25" s="10" t="n"/>
      <c r="F25" s="10" t="n"/>
      <c r="G25" s="10" t="n"/>
      <c r="H25" s="10" t="n"/>
      <c r="I25" s="10" t="n"/>
      <c r="J25" s="11" t="n"/>
      <c r="K25" s="12" t="n"/>
      <c r="L25" s="12" t="n"/>
      <c r="M25" s="12" t="n"/>
      <c r="N25" s="12" t="n"/>
      <c r="O25" s="12" t="n"/>
      <c r="P25" s="12" t="n"/>
      <c r="Q25" s="16" t="n"/>
      <c r="R25" s="12" t="n"/>
      <c r="S25" s="18" t="n"/>
      <c r="T25" s="11" t="n"/>
      <c r="U25" s="10" t="n"/>
      <c r="V25" s="10" t="n"/>
      <c r="W25" s="10" t="n"/>
      <c r="X25" s="10" t="n"/>
      <c r="Y25" s="20" t="n"/>
      <c r="Z25" s="21" t="n"/>
      <c r="AA25" s="12" t="n"/>
    </row>
    <row r="26" ht="15.75" customHeight="1" s="59">
      <c r="A26" s="9" t="n"/>
      <c r="B26" s="10" t="n"/>
      <c r="C26" s="10" t="n"/>
      <c r="D26" s="10" t="n"/>
      <c r="E26" s="10" t="n"/>
      <c r="F26" s="10" t="n"/>
      <c r="G26" s="10" t="n"/>
      <c r="H26" s="10" t="n"/>
      <c r="I26" s="10" t="n"/>
      <c r="J26" s="11" t="n"/>
      <c r="K26" s="12" t="n"/>
      <c r="L26" s="12" t="n"/>
      <c r="M26" s="12" t="n"/>
      <c r="N26" s="12" t="n"/>
      <c r="O26" s="12" t="n"/>
      <c r="P26" s="12" t="n"/>
      <c r="Q26" s="16" t="n"/>
      <c r="R26" s="12" t="n"/>
      <c r="S26" s="18" t="n"/>
      <c r="T26" s="11" t="n"/>
      <c r="U26" s="10" t="n"/>
      <c r="V26" s="10" t="n"/>
      <c r="W26" s="10" t="n"/>
      <c r="X26" s="10" t="n"/>
      <c r="Y26" s="20" t="n"/>
      <c r="Z26" s="21" t="n"/>
      <c r="AA26" s="12" t="n"/>
    </row>
    <row r="27" ht="15.75" customHeight="1" s="59">
      <c r="A27" s="9" t="n"/>
      <c r="B27" s="10" t="n"/>
      <c r="C27" s="10" t="n"/>
      <c r="D27" s="10" t="n"/>
      <c r="E27" s="10" t="n"/>
      <c r="F27" s="10" t="n"/>
      <c r="G27" s="10" t="n"/>
      <c r="H27" s="10" t="n"/>
      <c r="I27" s="10" t="n"/>
      <c r="J27" s="11" t="n"/>
      <c r="K27" s="12" t="n"/>
      <c r="L27" s="12" t="n"/>
      <c r="M27" s="12" t="n"/>
      <c r="N27" s="12" t="n"/>
      <c r="O27" s="12" t="n"/>
      <c r="P27" s="12" t="n"/>
      <c r="Q27" s="16" t="n"/>
      <c r="R27" s="12" t="n"/>
      <c r="S27" s="18" t="n"/>
      <c r="T27" s="11" t="n"/>
      <c r="U27" s="10" t="n"/>
      <c r="V27" s="10" t="n"/>
      <c r="W27" s="10" t="n"/>
      <c r="X27" s="10" t="n"/>
      <c r="Y27" s="20" t="n"/>
      <c r="Z27" s="21" t="n"/>
      <c r="AA27" s="12" t="n"/>
    </row>
    <row r="28" ht="15.75" customHeight="1" s="59">
      <c r="A28" s="9" t="n"/>
      <c r="B28" s="10" t="n"/>
      <c r="C28" s="10" t="n"/>
      <c r="D28" s="10" t="n"/>
      <c r="E28" s="10" t="n"/>
      <c r="F28" s="10" t="n"/>
      <c r="G28" s="10" t="n"/>
      <c r="H28" s="10" t="n"/>
      <c r="I28" s="10" t="n"/>
      <c r="J28" s="11" t="n"/>
      <c r="K28" s="12" t="n"/>
      <c r="L28" s="12" t="n"/>
      <c r="M28" s="12" t="n"/>
      <c r="N28" s="12" t="n"/>
      <c r="O28" s="12" t="n"/>
      <c r="P28" s="12" t="n"/>
      <c r="Q28" s="16" t="n"/>
      <c r="R28" s="12" t="n"/>
      <c r="S28" s="18" t="n"/>
      <c r="T28" s="11" t="n"/>
      <c r="U28" s="10" t="n"/>
      <c r="V28" s="10" t="n"/>
      <c r="W28" s="10" t="n"/>
      <c r="X28" s="10" t="n"/>
      <c r="Y28" s="20" t="n"/>
      <c r="Z28" s="21" t="n"/>
      <c r="AA28" s="12" t="n"/>
    </row>
    <row r="29" ht="15.75" customHeight="1" s="59">
      <c r="A29" s="4" t="n"/>
      <c r="B29" s="3"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s="59">
      <c r="A30" s="9" t="n"/>
      <c r="B30" s="10" t="n"/>
      <c r="C30" s="10" t="n"/>
      <c r="D30" s="10" t="n"/>
      <c r="E30" s="10" t="n"/>
      <c r="F30" s="10" t="n"/>
      <c r="G30" s="10" t="n"/>
      <c r="H30" s="10" t="n"/>
      <c r="I30" s="10" t="n"/>
      <c r="J30" s="11">
        <f>IF($C30="","",IF(ISERROR(INDIRECT("'"&amp;$C30&amp;"'!C1")),"no tab yet",IF(N(Y30)+N(AA30)=0,"tab empty",IF(N(T30)&gt;0,"check inputs","costed"))))</f>
        <v/>
      </c>
      <c r="K30" s="12">
        <f>IF(OR($J30="",$J30="no tab yet",$J30="tab empty"),"",IFERROR(INDIRECT("'"&amp;$C30&amp;"'!D87")+INDIRECT("'"&amp;$C30&amp;"'!D88"),""))</f>
        <v/>
      </c>
      <c r="L30" s="12">
        <f>IF(OR($J30="",$J30="no tab yet",$J30="tab empty"),"",IFERROR(INDIRECT("'"&amp;$C30&amp;"'!D89")+0,""))</f>
        <v/>
      </c>
      <c r="M30" s="12">
        <f>IF(OR($J30="",$J30="no tab yet",$J30="tab empty"),"",IFERROR(SUM(INDIRECT("'"&amp;$C30&amp;"'!D90:D93")),""))</f>
        <v/>
      </c>
      <c r="N30" s="12">
        <f>IF(OR($J30="",$J30="no tab yet",$J30="tab empty"),"",IFERROR(INDIRECT("'"&amp;$C30&amp;"'!D94")+0,""))</f>
        <v/>
      </c>
      <c r="O30" s="12">
        <f>IF(OR($J30="",$J30="no tab yet",$J30="tab empty"),"",IFERROR(INDIRECT("'"&amp;$C30&amp;"'!D95")+0,""))</f>
        <v/>
      </c>
      <c r="P30" s="12">
        <f>IF(OR($J30="",$J30="no tab yet",$J30="tab empty"),"",IFERROR(INDIRECT("'"&amp;$C30&amp;"'!D97"),""))</f>
        <v/>
      </c>
      <c r="Q30" s="16">
        <f>IF(OR($J30="",$J30="no tab yet",$J30="tab empty"),"",IFERROR(INDIRECT("'"&amp;$C30&amp;"'!D98")+0,""))</f>
        <v/>
      </c>
      <c r="R30" s="12">
        <f>IF(AND(ISNUMBER(H30),ISNUMBER(Q30)),H30*Q30,"")</f>
        <v/>
      </c>
      <c r="S30" s="18">
        <f>IFERROR(INDIRECT("'"&amp;$C30&amp;"'!D86")+0,"")</f>
        <v/>
      </c>
      <c r="T30" s="11">
        <f>IFERROR(INDIRECT("'"&amp;$C30&amp;"'!D102")+0,"")</f>
        <v/>
      </c>
      <c r="U30" s="10" t="n"/>
      <c r="V30" s="10" t="n"/>
      <c r="W30" s="10" t="n"/>
      <c r="X30" s="10" t="n"/>
      <c r="Y30" s="20">
        <f>IFERROR(INDIRECT("'"&amp;$C30&amp;"'!D82")+0,"")</f>
        <v/>
      </c>
      <c r="Z30" s="21">
        <f>IFERROR(INDIRECT("'"&amp;$C30&amp;"'!D84")+0,"")</f>
        <v/>
      </c>
      <c r="AA30" s="12">
        <f>IFERROR(INDIRECT("'"&amp;$C30&amp;"'!D89")+INDIRECT("'"&amp;$C30&amp;"'!D94"),"")</f>
        <v/>
      </c>
    </row>
    <row r="31" ht="15.75" customHeight="1" s="59">
      <c r="A31" s="9" t="n"/>
      <c r="B31" s="10" t="n"/>
      <c r="C31" s="10" t="n"/>
      <c r="D31" s="10" t="n"/>
      <c r="E31" s="10" t="n"/>
      <c r="F31" s="10" t="n"/>
      <c r="G31" s="10" t="n"/>
      <c r="H31" s="10" t="n"/>
      <c r="I31" s="10" t="n"/>
      <c r="J31" s="11">
        <f>IF($C31="","",IF(ISERROR(INDIRECT("'"&amp;$C31&amp;"'!C1")),"no tab yet",IF(N(Y31)+N(AA31)=0,"tab empty",IF(N(T31)&gt;0,"check inputs","costed"))))</f>
        <v/>
      </c>
      <c r="K31" s="12">
        <f>IF(OR($J31="",$J31="no tab yet",$J31="tab empty"),"",IFERROR(INDIRECT("'"&amp;$C31&amp;"'!D87")+INDIRECT("'"&amp;$C31&amp;"'!D88"),""))</f>
        <v/>
      </c>
      <c r="L31" s="12">
        <f>IF(OR($J31="",$J31="no tab yet",$J31="tab empty"),"",IFERROR(INDIRECT("'"&amp;$C31&amp;"'!D89")+0,""))</f>
        <v/>
      </c>
      <c r="M31" s="12">
        <f>IF(OR($J31="",$J31="no tab yet",$J31="tab empty"),"",IFERROR(SUM(INDIRECT("'"&amp;$C31&amp;"'!D90:D93")),""))</f>
        <v/>
      </c>
      <c r="N31" s="12">
        <f>IF(OR($J31="",$J31="no tab yet",$J31="tab empty"),"",IFERROR(INDIRECT("'"&amp;$C31&amp;"'!D94")+0,""))</f>
        <v/>
      </c>
      <c r="O31" s="12">
        <f>IF(OR($J31="",$J31="no tab yet",$J31="tab empty"),"",IFERROR(INDIRECT("'"&amp;$C31&amp;"'!D95")+0,""))</f>
        <v/>
      </c>
      <c r="P31" s="12">
        <f>IF(OR($J31="",$J31="no tab yet",$J31="tab empty"),"",IFERROR(INDIRECT("'"&amp;$C31&amp;"'!D97"),""))</f>
        <v/>
      </c>
      <c r="Q31" s="16">
        <f>IF(OR($J31="",$J31="no tab yet",$J31="tab empty"),"",IFERROR(INDIRECT("'"&amp;$C31&amp;"'!D98")+0,""))</f>
        <v/>
      </c>
      <c r="R31" s="12">
        <f>IF(AND(ISNUMBER(H31),ISNUMBER(Q31)),H31*Q31,"")</f>
        <v/>
      </c>
      <c r="S31" s="18">
        <f>IFERROR(INDIRECT("'"&amp;$C31&amp;"'!D86")+0,"")</f>
        <v/>
      </c>
      <c r="T31" s="11">
        <f>IFERROR(INDIRECT("'"&amp;$C31&amp;"'!D102")+0,"")</f>
        <v/>
      </c>
      <c r="U31" s="10" t="n"/>
      <c r="V31" s="10" t="n"/>
      <c r="W31" s="10" t="n"/>
      <c r="X31" s="10" t="n"/>
      <c r="Y31" s="20">
        <f>IFERROR(INDIRECT("'"&amp;$C31&amp;"'!D82")+0,"")</f>
        <v/>
      </c>
      <c r="Z31" s="21">
        <f>IFERROR(INDIRECT("'"&amp;$C31&amp;"'!D84")+0,"")</f>
        <v/>
      </c>
      <c r="AA31" s="12">
        <f>IFERROR(INDIRECT("'"&amp;$C31&amp;"'!D89")+INDIRECT("'"&amp;$C31&amp;"'!D94"),"")</f>
        <v/>
      </c>
    </row>
    <row r="32" ht="15.75" customHeight="1" s="59">
      <c r="A32" s="9" t="n"/>
      <c r="B32" s="10" t="n"/>
      <c r="C32" s="10" t="n"/>
      <c r="D32" s="10" t="n"/>
      <c r="E32" s="10" t="n"/>
      <c r="F32" s="10" t="n"/>
      <c r="G32" s="10" t="n"/>
      <c r="H32" s="10" t="n"/>
      <c r="I32" s="10" t="n"/>
      <c r="J32" s="11">
        <f>IF($C32="","",IF(ISERROR(INDIRECT("'"&amp;$C32&amp;"'!C1")),"no tab yet",IF(N(Y32)+N(AA32)=0,"tab empty",IF(N(T32)&gt;0,"check inputs","costed"))))</f>
        <v/>
      </c>
      <c r="K32" s="12">
        <f>IF(OR($J32="",$J32="no tab yet",$J32="tab empty"),"",IFERROR(INDIRECT("'"&amp;$C32&amp;"'!D87")+INDIRECT("'"&amp;$C32&amp;"'!D88"),""))</f>
        <v/>
      </c>
      <c r="L32" s="12">
        <f>IF(OR($J32="",$J32="no tab yet",$J32="tab empty"),"",IFERROR(INDIRECT("'"&amp;$C32&amp;"'!D89")+0,""))</f>
        <v/>
      </c>
      <c r="M32" s="12">
        <f>IF(OR($J32="",$J32="no tab yet",$J32="tab empty"),"",IFERROR(SUM(INDIRECT("'"&amp;$C32&amp;"'!D90:D93")),""))</f>
        <v/>
      </c>
      <c r="N32" s="12">
        <f>IF(OR($J32="",$J32="no tab yet",$J32="tab empty"),"",IFERROR(INDIRECT("'"&amp;$C32&amp;"'!D94")+0,""))</f>
        <v/>
      </c>
      <c r="O32" s="12">
        <f>IF(OR($J32="",$J32="no tab yet",$J32="tab empty"),"",IFERROR(INDIRECT("'"&amp;$C32&amp;"'!D95")+0,""))</f>
        <v/>
      </c>
      <c r="P32" s="12">
        <f>IF(OR($J32="",$J32="no tab yet",$J32="tab empty"),"",IFERROR(INDIRECT("'"&amp;$C32&amp;"'!D97"),""))</f>
        <v/>
      </c>
      <c r="Q32" s="16">
        <f>IF(OR($J32="",$J32="no tab yet",$J32="tab empty"),"",IFERROR(INDIRECT("'"&amp;$C32&amp;"'!D98")+0,""))</f>
        <v/>
      </c>
      <c r="R32" s="12">
        <f>IF(AND(ISNUMBER(H32),ISNUMBER(Q32)),H32*Q32,"")</f>
        <v/>
      </c>
      <c r="S32" s="18">
        <f>IFERROR(INDIRECT("'"&amp;$C32&amp;"'!D86")+0,"")</f>
        <v/>
      </c>
      <c r="T32" s="11">
        <f>IFERROR(INDIRECT("'"&amp;$C32&amp;"'!D102")+0,"")</f>
        <v/>
      </c>
      <c r="U32" s="10" t="n"/>
      <c r="V32" s="10" t="n"/>
      <c r="W32" s="10" t="n"/>
      <c r="X32" s="10" t="n"/>
      <c r="Y32" s="20">
        <f>IFERROR(INDIRECT("'"&amp;$C32&amp;"'!D82")+0,"")</f>
        <v/>
      </c>
      <c r="Z32" s="21">
        <f>IFERROR(INDIRECT("'"&amp;$C32&amp;"'!D84")+0,"")</f>
        <v/>
      </c>
      <c r="AA32" s="12">
        <f>IFERROR(INDIRECT("'"&amp;$C32&amp;"'!D89")+INDIRECT("'"&amp;$C32&amp;"'!D94"),"")</f>
        <v/>
      </c>
    </row>
    <row r="33" ht="15.75" customHeight="1" s="59">
      <c r="A33" s="9" t="n"/>
      <c r="B33" s="10" t="n"/>
      <c r="C33" s="10" t="n"/>
      <c r="D33" s="10" t="n"/>
      <c r="E33" s="10" t="n"/>
      <c r="F33" s="10" t="n"/>
      <c r="G33" s="10" t="n"/>
      <c r="H33" s="10" t="n"/>
      <c r="I33" s="10" t="n"/>
      <c r="J33" s="11">
        <f>IF($C33="","",IF(ISERROR(INDIRECT("'"&amp;$C33&amp;"'!C1")),"no tab yet",IF(N(Y33)+N(AA33)=0,"tab empty",IF(N(T33)&gt;0,"check inputs","costed"))))</f>
        <v/>
      </c>
      <c r="K33" s="12">
        <f>IF(OR($J33="",$J33="no tab yet",$J33="tab empty"),"",IFERROR(INDIRECT("'"&amp;$C33&amp;"'!D87")+INDIRECT("'"&amp;$C33&amp;"'!D88"),""))</f>
        <v/>
      </c>
      <c r="L33" s="12">
        <f>IF(OR($J33="",$J33="no tab yet",$J33="tab empty"),"",IFERROR(INDIRECT("'"&amp;$C33&amp;"'!D89")+0,""))</f>
        <v/>
      </c>
      <c r="M33" s="12">
        <f>IF(OR($J33="",$J33="no tab yet",$J33="tab empty"),"",IFERROR(SUM(INDIRECT("'"&amp;$C33&amp;"'!D90:D93")),""))</f>
        <v/>
      </c>
      <c r="N33" s="12">
        <f>IF(OR($J33="",$J33="no tab yet",$J33="tab empty"),"",IFERROR(INDIRECT("'"&amp;$C33&amp;"'!D94")+0,""))</f>
        <v/>
      </c>
      <c r="O33" s="12">
        <f>IF(OR($J33="",$J33="no tab yet",$J33="tab empty"),"",IFERROR(INDIRECT("'"&amp;$C33&amp;"'!D95")+0,""))</f>
        <v/>
      </c>
      <c r="P33" s="12">
        <f>IF(OR($J33="",$J33="no tab yet",$J33="tab empty"),"",IFERROR(INDIRECT("'"&amp;$C33&amp;"'!D97"),""))</f>
        <v/>
      </c>
      <c r="Q33" s="16">
        <f>IF(OR($J33="",$J33="no tab yet",$J33="tab empty"),"",IFERROR(INDIRECT("'"&amp;$C33&amp;"'!D98")+0,""))</f>
        <v/>
      </c>
      <c r="R33" s="12">
        <f>IF(AND(ISNUMBER(H33),ISNUMBER(Q33)),H33*Q33,"")</f>
        <v/>
      </c>
      <c r="S33" s="18">
        <f>IFERROR(INDIRECT("'"&amp;$C33&amp;"'!D86")+0,"")</f>
        <v/>
      </c>
      <c r="T33" s="11">
        <f>IFERROR(INDIRECT("'"&amp;$C33&amp;"'!D102")+0,"")</f>
        <v/>
      </c>
      <c r="U33" s="10" t="n"/>
      <c r="V33" s="10" t="n"/>
      <c r="W33" s="10" t="n"/>
      <c r="X33" s="10" t="n"/>
      <c r="Y33" s="20">
        <f>IFERROR(INDIRECT("'"&amp;$C33&amp;"'!D82")+0,"")</f>
        <v/>
      </c>
      <c r="Z33" s="21">
        <f>IFERROR(INDIRECT("'"&amp;$C33&amp;"'!D84")+0,"")</f>
        <v/>
      </c>
      <c r="AA33" s="12">
        <f>IFERROR(INDIRECT("'"&amp;$C33&amp;"'!D89")+INDIRECT("'"&amp;$C33&amp;"'!D94"),"")</f>
        <v/>
      </c>
    </row>
    <row r="34" ht="15.75" customHeight="1" s="59">
      <c r="A34" s="9" t="n"/>
      <c r="B34" s="10" t="n"/>
      <c r="C34" s="10" t="n"/>
      <c r="D34" s="10" t="n"/>
      <c r="E34" s="10" t="n"/>
      <c r="F34" s="10" t="n"/>
      <c r="G34" s="10" t="n"/>
      <c r="H34" s="10" t="n"/>
      <c r="I34" s="10" t="n"/>
      <c r="J34" s="11">
        <f>IF($C34="","",IF(ISERROR(INDIRECT("'"&amp;$C34&amp;"'!C1")),"no tab yet",IF(N(Y34)+N(AA34)=0,"tab empty",IF(N(T34)&gt;0,"check inputs","costed"))))</f>
        <v/>
      </c>
      <c r="K34" s="12">
        <f>IF(OR($J34="",$J34="no tab yet",$J34="tab empty"),"",IFERROR(INDIRECT("'"&amp;$C34&amp;"'!D87")+INDIRECT("'"&amp;$C34&amp;"'!D88"),""))</f>
        <v/>
      </c>
      <c r="L34" s="12">
        <f>IF(OR($J34="",$J34="no tab yet",$J34="tab empty"),"",IFERROR(INDIRECT("'"&amp;$C34&amp;"'!D89")+0,""))</f>
        <v/>
      </c>
      <c r="M34" s="12">
        <f>IF(OR($J34="",$J34="no tab yet",$J34="tab empty"),"",IFERROR(SUM(INDIRECT("'"&amp;$C34&amp;"'!D90:D93")),""))</f>
        <v/>
      </c>
      <c r="N34" s="12">
        <f>IF(OR($J34="",$J34="no tab yet",$J34="tab empty"),"",IFERROR(INDIRECT("'"&amp;$C34&amp;"'!D94")+0,""))</f>
        <v/>
      </c>
      <c r="O34" s="12">
        <f>IF(OR($J34="",$J34="no tab yet",$J34="tab empty"),"",IFERROR(INDIRECT("'"&amp;$C34&amp;"'!D95")+0,""))</f>
        <v/>
      </c>
      <c r="P34" s="12">
        <f>IF(OR($J34="",$J34="no tab yet",$J34="tab empty"),"",IFERROR(INDIRECT("'"&amp;$C34&amp;"'!D97"),""))</f>
        <v/>
      </c>
      <c r="Q34" s="16">
        <f>IF(OR($J34="",$J34="no tab yet",$J34="tab empty"),"",IFERROR(INDIRECT("'"&amp;$C34&amp;"'!D98")+0,""))</f>
        <v/>
      </c>
      <c r="R34" s="12">
        <f>IF(AND(ISNUMBER(H34),ISNUMBER(Q34)),H34*Q34,"")</f>
        <v/>
      </c>
      <c r="S34" s="18">
        <f>IFERROR(INDIRECT("'"&amp;$C34&amp;"'!D86")+0,"")</f>
        <v/>
      </c>
      <c r="T34" s="11">
        <f>IFERROR(INDIRECT("'"&amp;$C34&amp;"'!D102")+0,"")</f>
        <v/>
      </c>
      <c r="U34" s="10" t="n"/>
      <c r="V34" s="10" t="n"/>
      <c r="W34" s="10" t="n"/>
      <c r="X34" s="10" t="n"/>
      <c r="Y34" s="20">
        <f>IFERROR(INDIRECT("'"&amp;$C34&amp;"'!D82")+0,"")</f>
        <v/>
      </c>
      <c r="Z34" s="21">
        <f>IFERROR(INDIRECT("'"&amp;$C34&amp;"'!D84")+0,"")</f>
        <v/>
      </c>
      <c r="AA34" s="12">
        <f>IFERROR(INDIRECT("'"&amp;$C34&amp;"'!D89")+INDIRECT("'"&amp;$C34&amp;"'!D94"),"")</f>
        <v/>
      </c>
    </row>
    <row r="35" ht="15.75" customHeight="1" s="59">
      <c r="A35" s="9" t="n"/>
      <c r="B35" s="10" t="n"/>
      <c r="C35" s="10" t="n"/>
      <c r="D35" s="10" t="n"/>
      <c r="E35" s="10" t="n"/>
      <c r="F35" s="10" t="n"/>
      <c r="G35" s="10" t="n"/>
      <c r="H35" s="10" t="n"/>
      <c r="I35" s="10" t="n"/>
      <c r="J35" s="11">
        <f>IF($C35="","",IF(ISERROR(INDIRECT("'"&amp;$C35&amp;"'!C1")),"no tab yet",IF(N(Y35)+N(AA35)=0,"tab empty",IF(N(T35)&gt;0,"check inputs","costed"))))</f>
        <v/>
      </c>
      <c r="K35" s="12">
        <f>IF(OR($J35="",$J35="no tab yet",$J35="tab empty"),"",IFERROR(INDIRECT("'"&amp;$C35&amp;"'!D87")+INDIRECT("'"&amp;$C35&amp;"'!D88"),""))</f>
        <v/>
      </c>
      <c r="L35" s="12">
        <f>IF(OR($J35="",$J35="no tab yet",$J35="tab empty"),"",IFERROR(INDIRECT("'"&amp;$C35&amp;"'!D89")+0,""))</f>
        <v/>
      </c>
      <c r="M35" s="12">
        <f>IF(OR($J35="",$J35="no tab yet",$J35="tab empty"),"",IFERROR(SUM(INDIRECT("'"&amp;$C35&amp;"'!D90:D93")),""))</f>
        <v/>
      </c>
      <c r="N35" s="12">
        <f>IF(OR($J35="",$J35="no tab yet",$J35="tab empty"),"",IFERROR(INDIRECT("'"&amp;$C35&amp;"'!D94")+0,""))</f>
        <v/>
      </c>
      <c r="O35" s="12">
        <f>IF(OR($J35="",$J35="no tab yet",$J35="tab empty"),"",IFERROR(INDIRECT("'"&amp;$C35&amp;"'!D95")+0,""))</f>
        <v/>
      </c>
      <c r="P35" s="12">
        <f>IF(OR($J35="",$J35="no tab yet",$J35="tab empty"),"",IFERROR(INDIRECT("'"&amp;$C35&amp;"'!D97"),""))</f>
        <v/>
      </c>
      <c r="Q35" s="16">
        <f>IF(OR($J35="",$J35="no tab yet",$J35="tab empty"),"",IFERROR(INDIRECT("'"&amp;$C35&amp;"'!D98")+0,""))</f>
        <v/>
      </c>
      <c r="R35" s="12">
        <f>IF(AND(ISNUMBER(H35),ISNUMBER(Q35)),H35*Q35,"")</f>
        <v/>
      </c>
      <c r="S35" s="18">
        <f>IFERROR(INDIRECT("'"&amp;$C35&amp;"'!D86")+0,"")</f>
        <v/>
      </c>
      <c r="T35" s="11">
        <f>IFERROR(INDIRECT("'"&amp;$C35&amp;"'!D102")+0,"")</f>
        <v/>
      </c>
      <c r="U35" s="10" t="n"/>
      <c r="V35" s="10" t="n"/>
      <c r="W35" s="10" t="n"/>
      <c r="X35" s="10" t="n"/>
      <c r="Y35" s="20">
        <f>IFERROR(INDIRECT("'"&amp;$C35&amp;"'!D82")+0,"")</f>
        <v/>
      </c>
      <c r="Z35" s="21">
        <f>IFERROR(INDIRECT("'"&amp;$C35&amp;"'!D84")+0,"")</f>
        <v/>
      </c>
      <c r="AA35" s="12">
        <f>IFERROR(INDIRECT("'"&amp;$C35&amp;"'!D89")+INDIRECT("'"&amp;$C35&amp;"'!D94"),"")</f>
        <v/>
      </c>
    </row>
    <row r="36" ht="15.75" customHeight="1" s="59">
      <c r="A36" s="9" t="n"/>
      <c r="B36" s="10" t="n"/>
      <c r="C36" s="10" t="n"/>
      <c r="D36" s="10" t="n"/>
      <c r="E36" s="10" t="n"/>
      <c r="F36" s="10" t="n"/>
      <c r="G36" s="10" t="n"/>
      <c r="H36" s="10" t="n"/>
      <c r="I36" s="10" t="n"/>
      <c r="J36" s="11">
        <f>IF($C36="","",IF(ISERROR(INDIRECT("'"&amp;$C36&amp;"'!C1")),"no tab yet",IF(N(Y36)+N(AA36)=0,"tab empty",IF(N(T36)&gt;0,"check inputs","costed"))))</f>
        <v/>
      </c>
      <c r="K36" s="12">
        <f>IF(OR($J36="",$J36="no tab yet",$J36="tab empty"),"",IFERROR(INDIRECT("'"&amp;$C36&amp;"'!D87")+INDIRECT("'"&amp;$C36&amp;"'!D88"),""))</f>
        <v/>
      </c>
      <c r="L36" s="12">
        <f>IF(OR($J36="",$J36="no tab yet",$J36="tab empty"),"",IFERROR(INDIRECT("'"&amp;$C36&amp;"'!D89")+0,""))</f>
        <v/>
      </c>
      <c r="M36" s="12">
        <f>IF(OR($J36="",$J36="no tab yet",$J36="tab empty"),"",IFERROR(SUM(INDIRECT("'"&amp;$C36&amp;"'!D90:D93")),""))</f>
        <v/>
      </c>
      <c r="N36" s="12">
        <f>IF(OR($J36="",$J36="no tab yet",$J36="tab empty"),"",IFERROR(INDIRECT("'"&amp;$C36&amp;"'!D94")+0,""))</f>
        <v/>
      </c>
      <c r="O36" s="12">
        <f>IF(OR($J36="",$J36="no tab yet",$J36="tab empty"),"",IFERROR(INDIRECT("'"&amp;$C36&amp;"'!D95")+0,""))</f>
        <v/>
      </c>
      <c r="P36" s="12">
        <f>IF(OR($J36="",$J36="no tab yet",$J36="tab empty"),"",IFERROR(INDIRECT("'"&amp;$C36&amp;"'!D97"),""))</f>
        <v/>
      </c>
      <c r="Q36" s="16">
        <f>IF(OR($J36="",$J36="no tab yet",$J36="tab empty"),"",IFERROR(INDIRECT("'"&amp;$C36&amp;"'!D98")+0,""))</f>
        <v/>
      </c>
      <c r="R36" s="12">
        <f>IF(AND(ISNUMBER(H36),ISNUMBER(Q36)),H36*Q36,"")</f>
        <v/>
      </c>
      <c r="S36" s="18">
        <f>IFERROR(INDIRECT("'"&amp;$C36&amp;"'!D86")+0,"")</f>
        <v/>
      </c>
      <c r="T36" s="11">
        <f>IFERROR(INDIRECT("'"&amp;$C36&amp;"'!D102")+0,"")</f>
        <v/>
      </c>
      <c r="U36" s="10" t="n"/>
      <c r="V36" s="10" t="n"/>
      <c r="W36" s="10" t="n"/>
      <c r="X36" s="10" t="n"/>
      <c r="Y36" s="20">
        <f>IFERROR(INDIRECT("'"&amp;$C36&amp;"'!D82")+0,"")</f>
        <v/>
      </c>
      <c r="Z36" s="21">
        <f>IFERROR(INDIRECT("'"&amp;$C36&amp;"'!D84")+0,"")</f>
        <v/>
      </c>
      <c r="AA36" s="12">
        <f>IFERROR(INDIRECT("'"&amp;$C36&amp;"'!D89")+INDIRECT("'"&amp;$C36&amp;"'!D94"),"")</f>
        <v/>
      </c>
    </row>
    <row r="37" ht="15.75" customHeight="1" s="59">
      <c r="A37" s="9" t="n"/>
      <c r="B37" s="10" t="n"/>
      <c r="C37" s="10" t="n"/>
      <c r="D37" s="10" t="n"/>
      <c r="E37" s="10" t="n"/>
      <c r="F37" s="10" t="n"/>
      <c r="G37" s="10" t="n"/>
      <c r="H37" s="10" t="n"/>
      <c r="I37" s="10" t="n"/>
      <c r="J37" s="11">
        <f>IF($C37="","",IF(ISERROR(INDIRECT("'"&amp;$C37&amp;"'!C1")),"no tab yet",IF(N(Y37)+N(AA37)=0,"tab empty",IF(N(T37)&gt;0,"check inputs","costed"))))</f>
        <v/>
      </c>
      <c r="K37" s="12">
        <f>IF(OR($J37="",$J37="no tab yet",$J37="tab empty"),"",IFERROR(INDIRECT("'"&amp;$C37&amp;"'!D87")+INDIRECT("'"&amp;$C37&amp;"'!D88"),""))</f>
        <v/>
      </c>
      <c r="L37" s="12">
        <f>IF(OR($J37="",$J37="no tab yet",$J37="tab empty"),"",IFERROR(INDIRECT("'"&amp;$C37&amp;"'!D89")+0,""))</f>
        <v/>
      </c>
      <c r="M37" s="12">
        <f>IF(OR($J37="",$J37="no tab yet",$J37="tab empty"),"",IFERROR(SUM(INDIRECT("'"&amp;$C37&amp;"'!D90:D93")),""))</f>
        <v/>
      </c>
      <c r="N37" s="12">
        <f>IF(OR($J37="",$J37="no tab yet",$J37="tab empty"),"",IFERROR(INDIRECT("'"&amp;$C37&amp;"'!D94")+0,""))</f>
        <v/>
      </c>
      <c r="O37" s="12">
        <f>IF(OR($J37="",$J37="no tab yet",$J37="tab empty"),"",IFERROR(INDIRECT("'"&amp;$C37&amp;"'!D95")+0,""))</f>
        <v/>
      </c>
      <c r="P37" s="12">
        <f>IF(OR($J37="",$J37="no tab yet",$J37="tab empty"),"",IFERROR(INDIRECT("'"&amp;$C37&amp;"'!D97"),""))</f>
        <v/>
      </c>
      <c r="Q37" s="16">
        <f>IF(OR($J37="",$J37="no tab yet",$J37="tab empty"),"",IFERROR(INDIRECT("'"&amp;$C37&amp;"'!D98")+0,""))</f>
        <v/>
      </c>
      <c r="R37" s="12">
        <f>IF(AND(ISNUMBER(H37),ISNUMBER(Q37)),H37*Q37,"")</f>
        <v/>
      </c>
      <c r="S37" s="18">
        <f>IFERROR(INDIRECT("'"&amp;$C37&amp;"'!D86")+0,"")</f>
        <v/>
      </c>
      <c r="T37" s="11">
        <f>IFERROR(INDIRECT("'"&amp;$C37&amp;"'!D102")+0,"")</f>
        <v/>
      </c>
      <c r="U37" s="10" t="n"/>
      <c r="V37" s="10" t="n"/>
      <c r="W37" s="10" t="n"/>
      <c r="X37" s="10" t="n"/>
      <c r="Y37" s="20">
        <f>IFERROR(INDIRECT("'"&amp;$C37&amp;"'!D82")+0,"")</f>
        <v/>
      </c>
      <c r="Z37" s="21">
        <f>IFERROR(INDIRECT("'"&amp;$C37&amp;"'!D84")+0,"")</f>
        <v/>
      </c>
      <c r="AA37" s="12">
        <f>IFERROR(INDIRECT("'"&amp;$C37&amp;"'!D89")+INDIRECT("'"&amp;$C37&amp;"'!D94"),"")</f>
        <v/>
      </c>
    </row>
    <row r="38" ht="15.75" customHeight="1" s="59">
      <c r="A38" s="9" t="n"/>
      <c r="B38" s="10" t="n"/>
      <c r="C38" s="10" t="n"/>
      <c r="D38" s="10" t="n"/>
      <c r="E38" s="10" t="n"/>
      <c r="F38" s="10" t="n"/>
      <c r="G38" s="10" t="n"/>
      <c r="H38" s="10" t="n"/>
      <c r="I38" s="10" t="n"/>
      <c r="J38" s="11">
        <f>IF($C38="","",IF(ISERROR(INDIRECT("'"&amp;$C38&amp;"'!C1")),"no tab yet",IF(N(Y38)+N(AA38)=0,"tab empty",IF(N(T38)&gt;0,"check inputs","costed"))))</f>
        <v/>
      </c>
      <c r="K38" s="12">
        <f>IF(OR($J38="",$J38="no tab yet",$J38="tab empty"),"",IFERROR(INDIRECT("'"&amp;$C38&amp;"'!D87")+INDIRECT("'"&amp;$C38&amp;"'!D88"),""))</f>
        <v/>
      </c>
      <c r="L38" s="12">
        <f>IF(OR($J38="",$J38="no tab yet",$J38="tab empty"),"",IFERROR(INDIRECT("'"&amp;$C38&amp;"'!D89")+0,""))</f>
        <v/>
      </c>
      <c r="M38" s="12">
        <f>IF(OR($J38="",$J38="no tab yet",$J38="tab empty"),"",IFERROR(SUM(INDIRECT("'"&amp;$C38&amp;"'!D90:D93")),""))</f>
        <v/>
      </c>
      <c r="N38" s="12">
        <f>IF(OR($J38="",$J38="no tab yet",$J38="tab empty"),"",IFERROR(INDIRECT("'"&amp;$C38&amp;"'!D94")+0,""))</f>
        <v/>
      </c>
      <c r="O38" s="12">
        <f>IF(OR($J38="",$J38="no tab yet",$J38="tab empty"),"",IFERROR(INDIRECT("'"&amp;$C38&amp;"'!D95")+0,""))</f>
        <v/>
      </c>
      <c r="P38" s="12">
        <f>IF(OR($J38="",$J38="no tab yet",$J38="tab empty"),"",IFERROR(INDIRECT("'"&amp;$C38&amp;"'!D97"),""))</f>
        <v/>
      </c>
      <c r="Q38" s="16">
        <f>IF(OR($J38="",$J38="no tab yet",$J38="tab empty"),"",IFERROR(INDIRECT("'"&amp;$C38&amp;"'!D98")+0,""))</f>
        <v/>
      </c>
      <c r="R38" s="12">
        <f>IF(AND(ISNUMBER(H38),ISNUMBER(Q38)),H38*Q38,"")</f>
        <v/>
      </c>
      <c r="S38" s="18">
        <f>IFERROR(INDIRECT("'"&amp;$C38&amp;"'!D86")+0,"")</f>
        <v/>
      </c>
      <c r="T38" s="11">
        <f>IFERROR(INDIRECT("'"&amp;$C38&amp;"'!D102")+0,"")</f>
        <v/>
      </c>
      <c r="U38" s="10" t="n"/>
      <c r="V38" s="10" t="n"/>
      <c r="W38" s="10" t="n"/>
      <c r="X38" s="10" t="n"/>
      <c r="Y38" s="20">
        <f>IFERROR(INDIRECT("'"&amp;$C38&amp;"'!D82")+0,"")</f>
        <v/>
      </c>
      <c r="Z38" s="21">
        <f>IFERROR(INDIRECT("'"&amp;$C38&amp;"'!D84")+0,"")</f>
        <v/>
      </c>
      <c r="AA38" s="12">
        <f>IFERROR(INDIRECT("'"&amp;$C38&amp;"'!D89")+INDIRECT("'"&amp;$C38&amp;"'!D94"),"")</f>
        <v/>
      </c>
    </row>
    <row r="39" ht="15.75" customHeight="1" s="59">
      <c r="A39" s="9" t="n"/>
      <c r="B39" s="10" t="n"/>
      <c r="C39" s="10" t="n"/>
      <c r="D39" s="10" t="n"/>
      <c r="E39" s="10" t="n"/>
      <c r="F39" s="10" t="n"/>
      <c r="G39" s="10" t="n"/>
      <c r="H39" s="10" t="n"/>
      <c r="I39" s="10" t="n"/>
      <c r="J39" s="11">
        <f>IF($C39="","",IF(ISERROR(INDIRECT("'"&amp;$C39&amp;"'!C1")),"no tab yet",IF(N(Y39)+N(AA39)=0,"tab empty",IF(N(T39)&gt;0,"check inputs","costed"))))</f>
        <v/>
      </c>
      <c r="K39" s="12">
        <f>IF(OR($J39="",$J39="no tab yet",$J39="tab empty"),"",IFERROR(INDIRECT("'"&amp;$C39&amp;"'!D87")+INDIRECT("'"&amp;$C39&amp;"'!D88"),""))</f>
        <v/>
      </c>
      <c r="L39" s="12">
        <f>IF(OR($J39="",$J39="no tab yet",$J39="tab empty"),"",IFERROR(INDIRECT("'"&amp;$C39&amp;"'!D89")+0,""))</f>
        <v/>
      </c>
      <c r="M39" s="12">
        <f>IF(OR($J39="",$J39="no tab yet",$J39="tab empty"),"",IFERROR(SUM(INDIRECT("'"&amp;$C39&amp;"'!D90:D93")),""))</f>
        <v/>
      </c>
      <c r="N39" s="12">
        <f>IF(OR($J39="",$J39="no tab yet",$J39="tab empty"),"",IFERROR(INDIRECT("'"&amp;$C39&amp;"'!D94")+0,""))</f>
        <v/>
      </c>
      <c r="O39" s="12">
        <f>IF(OR($J39="",$J39="no tab yet",$J39="tab empty"),"",IFERROR(INDIRECT("'"&amp;$C39&amp;"'!D95")+0,""))</f>
        <v/>
      </c>
      <c r="P39" s="12">
        <f>IF(OR($J39="",$J39="no tab yet",$J39="tab empty"),"",IFERROR(INDIRECT("'"&amp;$C39&amp;"'!D97"),""))</f>
        <v/>
      </c>
      <c r="Q39" s="16">
        <f>IF(OR($J39="",$J39="no tab yet",$J39="tab empty"),"",IFERROR(INDIRECT("'"&amp;$C39&amp;"'!D98")+0,""))</f>
        <v/>
      </c>
      <c r="R39" s="12">
        <f>IF(AND(ISNUMBER(H39),ISNUMBER(Q39)),H39*Q39,"")</f>
        <v/>
      </c>
      <c r="S39" s="18">
        <f>IFERROR(INDIRECT("'"&amp;$C39&amp;"'!D86")+0,"")</f>
        <v/>
      </c>
      <c r="T39" s="11">
        <f>IFERROR(INDIRECT("'"&amp;$C39&amp;"'!D102")+0,"")</f>
        <v/>
      </c>
      <c r="U39" s="10" t="n"/>
      <c r="V39" s="10" t="n"/>
      <c r="W39" s="10" t="n"/>
      <c r="X39" s="10" t="n"/>
      <c r="Y39" s="20">
        <f>IFERROR(INDIRECT("'"&amp;$C39&amp;"'!D82")+0,"")</f>
        <v/>
      </c>
      <c r="Z39" s="21">
        <f>IFERROR(INDIRECT("'"&amp;$C39&amp;"'!D84")+0,"")</f>
        <v/>
      </c>
      <c r="AA39" s="12">
        <f>IFERROR(INDIRECT("'"&amp;$C39&amp;"'!D89")+INDIRECT("'"&amp;$C39&amp;"'!D94"),"")</f>
        <v/>
      </c>
    </row>
    <row r="40" ht="15.75" customHeight="1" s="59">
      <c r="A40" s="9" t="n"/>
      <c r="B40" s="10" t="n"/>
      <c r="C40" s="10" t="n"/>
      <c r="D40" s="10" t="n"/>
      <c r="E40" s="10" t="n"/>
      <c r="F40" s="10" t="n"/>
      <c r="G40" s="10" t="n"/>
      <c r="H40" s="10" t="n"/>
      <c r="I40" s="10" t="n"/>
      <c r="J40" s="11">
        <f>IF($C40="","",IF(ISERROR(INDIRECT("'"&amp;$C40&amp;"'!C1")),"no tab yet",IF(N(Y40)+N(AA40)=0,"tab empty",IF(N(T40)&gt;0,"check inputs","costed"))))</f>
        <v/>
      </c>
      <c r="K40" s="12">
        <f>IF(OR($J40="",$J40="no tab yet",$J40="tab empty"),"",IFERROR(INDIRECT("'"&amp;$C40&amp;"'!D87")+INDIRECT("'"&amp;$C40&amp;"'!D88"),""))</f>
        <v/>
      </c>
      <c r="L40" s="12">
        <f>IF(OR($J40="",$J40="no tab yet",$J40="tab empty"),"",IFERROR(INDIRECT("'"&amp;$C40&amp;"'!D89")+0,""))</f>
        <v/>
      </c>
      <c r="M40" s="12">
        <f>IF(OR($J40="",$J40="no tab yet",$J40="tab empty"),"",IFERROR(SUM(INDIRECT("'"&amp;$C40&amp;"'!D90:D93")),""))</f>
        <v/>
      </c>
      <c r="N40" s="12">
        <f>IF(OR($J40="",$J40="no tab yet",$J40="tab empty"),"",IFERROR(INDIRECT("'"&amp;$C40&amp;"'!D94")+0,""))</f>
        <v/>
      </c>
      <c r="O40" s="12">
        <f>IF(OR($J40="",$J40="no tab yet",$J40="tab empty"),"",IFERROR(INDIRECT("'"&amp;$C40&amp;"'!D95")+0,""))</f>
        <v/>
      </c>
      <c r="P40" s="12">
        <f>IF(OR($J40="",$J40="no tab yet",$J40="tab empty"),"",IFERROR(INDIRECT("'"&amp;$C40&amp;"'!D97"),""))</f>
        <v/>
      </c>
      <c r="Q40" s="16">
        <f>IF(OR($J40="",$J40="no tab yet",$J40="tab empty"),"",IFERROR(INDIRECT("'"&amp;$C40&amp;"'!D98")+0,""))</f>
        <v/>
      </c>
      <c r="R40" s="12">
        <f>IF(AND(ISNUMBER(H40),ISNUMBER(Q40)),H40*Q40,"")</f>
        <v/>
      </c>
      <c r="S40" s="18">
        <f>IFERROR(INDIRECT("'"&amp;$C40&amp;"'!D86")+0,"")</f>
        <v/>
      </c>
      <c r="T40" s="11">
        <f>IFERROR(INDIRECT("'"&amp;$C40&amp;"'!D102")+0,"")</f>
        <v/>
      </c>
      <c r="U40" s="10" t="n"/>
      <c r="V40" s="10" t="n"/>
      <c r="W40" s="10" t="n"/>
      <c r="X40" s="10" t="n"/>
      <c r="Y40" s="20">
        <f>IFERROR(INDIRECT("'"&amp;$C40&amp;"'!D82")+0,"")</f>
        <v/>
      </c>
      <c r="Z40" s="21">
        <f>IFERROR(INDIRECT("'"&amp;$C40&amp;"'!D84")+0,"")</f>
        <v/>
      </c>
      <c r="AA40" s="12">
        <f>IFERROR(INDIRECT("'"&amp;$C40&amp;"'!D89")+INDIRECT("'"&amp;$C40&amp;"'!D94"),"")</f>
        <v/>
      </c>
    </row>
    <row r="41" ht="15.75" customHeight="1" s="59">
      <c r="A41" s="9" t="n"/>
      <c r="B41" s="10" t="n"/>
      <c r="C41" s="10" t="n"/>
      <c r="D41" s="10" t="n"/>
      <c r="E41" s="10" t="n"/>
      <c r="F41" s="10" t="n"/>
      <c r="G41" s="10" t="n"/>
      <c r="H41" s="10" t="n"/>
      <c r="I41" s="10" t="n"/>
      <c r="J41" s="11">
        <f>IF($C41="","",IF(ISERROR(INDIRECT("'"&amp;$C41&amp;"'!C1")),"no tab yet",IF(N(Y41)+N(AA41)=0,"tab empty",IF(N(T41)&gt;0,"check inputs","costed"))))</f>
        <v/>
      </c>
      <c r="K41" s="12">
        <f>IF(OR($J41="",$J41="no tab yet",$J41="tab empty"),"",IFERROR(INDIRECT("'"&amp;$C41&amp;"'!D87")+INDIRECT("'"&amp;$C41&amp;"'!D88"),""))</f>
        <v/>
      </c>
      <c r="L41" s="12">
        <f>IF(OR($J41="",$J41="no tab yet",$J41="tab empty"),"",IFERROR(INDIRECT("'"&amp;$C41&amp;"'!D89")+0,""))</f>
        <v/>
      </c>
      <c r="M41" s="12">
        <f>IF(OR($J41="",$J41="no tab yet",$J41="tab empty"),"",IFERROR(SUM(INDIRECT("'"&amp;$C41&amp;"'!D90:D93")),""))</f>
        <v/>
      </c>
      <c r="N41" s="12">
        <f>IF(OR($J41="",$J41="no tab yet",$J41="tab empty"),"",IFERROR(INDIRECT("'"&amp;$C41&amp;"'!D94")+0,""))</f>
        <v/>
      </c>
      <c r="O41" s="12">
        <f>IF(OR($J41="",$J41="no tab yet",$J41="tab empty"),"",IFERROR(INDIRECT("'"&amp;$C41&amp;"'!D95")+0,""))</f>
        <v/>
      </c>
      <c r="P41" s="12">
        <f>IF(OR($J41="",$J41="no tab yet",$J41="tab empty"),"",IFERROR(INDIRECT("'"&amp;$C41&amp;"'!D97"),""))</f>
        <v/>
      </c>
      <c r="Q41" s="16">
        <f>IF(OR($J41="",$J41="no tab yet",$J41="tab empty"),"",IFERROR(INDIRECT("'"&amp;$C41&amp;"'!D98")+0,""))</f>
        <v/>
      </c>
      <c r="R41" s="12">
        <f>IF(AND(ISNUMBER(H41),ISNUMBER(Q41)),H41*Q41,"")</f>
        <v/>
      </c>
      <c r="S41" s="18">
        <f>IFERROR(INDIRECT("'"&amp;$C41&amp;"'!D86")+0,"")</f>
        <v/>
      </c>
      <c r="T41" s="11">
        <f>IFERROR(INDIRECT("'"&amp;$C41&amp;"'!D102")+0,"")</f>
        <v/>
      </c>
      <c r="U41" s="10" t="n"/>
      <c r="V41" s="10" t="n"/>
      <c r="W41" s="10" t="n"/>
      <c r="X41" s="10" t="n"/>
      <c r="Y41" s="20">
        <f>IFERROR(INDIRECT("'"&amp;$C41&amp;"'!D82")+0,"")</f>
        <v/>
      </c>
      <c r="Z41" s="21">
        <f>IFERROR(INDIRECT("'"&amp;$C41&amp;"'!D84")+0,"")</f>
        <v/>
      </c>
      <c r="AA41" s="12">
        <f>IFERROR(INDIRECT("'"&amp;$C41&amp;"'!D89")+INDIRECT("'"&amp;$C41&amp;"'!D94"),"")</f>
        <v/>
      </c>
    </row>
    <row r="42" ht="15.75" customHeight="1" s="59">
      <c r="A42" s="9" t="n"/>
      <c r="B42" s="10" t="n"/>
      <c r="C42" s="10" t="n"/>
      <c r="D42" s="10" t="n"/>
      <c r="E42" s="10" t="n"/>
      <c r="F42" s="10" t="n"/>
      <c r="G42" s="10" t="n"/>
      <c r="H42" s="10" t="n"/>
      <c r="I42" s="10" t="n"/>
      <c r="J42" s="11">
        <f>IF($C42="","",IF(ISERROR(INDIRECT("'"&amp;$C42&amp;"'!C1")),"no tab yet",IF(N(Y42)+N(AA42)=0,"tab empty",IF(N(T42)&gt;0,"check inputs","costed"))))</f>
        <v/>
      </c>
      <c r="K42" s="12">
        <f>IF(OR($J42="",$J42="no tab yet",$J42="tab empty"),"",IFERROR(INDIRECT("'"&amp;$C42&amp;"'!D87")+INDIRECT("'"&amp;$C42&amp;"'!D88"),""))</f>
        <v/>
      </c>
      <c r="L42" s="12">
        <f>IF(OR($J42="",$J42="no tab yet",$J42="tab empty"),"",IFERROR(INDIRECT("'"&amp;$C42&amp;"'!D89")+0,""))</f>
        <v/>
      </c>
      <c r="M42" s="12">
        <f>IF(OR($J42="",$J42="no tab yet",$J42="tab empty"),"",IFERROR(SUM(INDIRECT("'"&amp;$C42&amp;"'!D90:D93")),""))</f>
        <v/>
      </c>
      <c r="N42" s="12">
        <f>IF(OR($J42="",$J42="no tab yet",$J42="tab empty"),"",IFERROR(INDIRECT("'"&amp;$C42&amp;"'!D94")+0,""))</f>
        <v/>
      </c>
      <c r="O42" s="12">
        <f>IF(OR($J42="",$J42="no tab yet",$J42="tab empty"),"",IFERROR(INDIRECT("'"&amp;$C42&amp;"'!D95")+0,""))</f>
        <v/>
      </c>
      <c r="P42" s="12">
        <f>IF(OR($J42="",$J42="no tab yet",$J42="tab empty"),"",IFERROR(INDIRECT("'"&amp;$C42&amp;"'!D97"),""))</f>
        <v/>
      </c>
      <c r="Q42" s="16">
        <f>IF(OR($J42="",$J42="no tab yet",$J42="tab empty"),"",IFERROR(INDIRECT("'"&amp;$C42&amp;"'!D98")+0,""))</f>
        <v/>
      </c>
      <c r="R42" s="12">
        <f>IF(AND(ISNUMBER(H42),ISNUMBER(Q42)),H42*Q42,"")</f>
        <v/>
      </c>
      <c r="S42" s="18">
        <f>IFERROR(INDIRECT("'"&amp;$C42&amp;"'!D86")+0,"")</f>
        <v/>
      </c>
      <c r="T42" s="11">
        <f>IFERROR(INDIRECT("'"&amp;$C42&amp;"'!D102")+0,"")</f>
        <v/>
      </c>
      <c r="U42" s="10" t="n"/>
      <c r="V42" s="10" t="n"/>
      <c r="W42" s="10" t="n"/>
      <c r="X42" s="10" t="n"/>
      <c r="Y42" s="20">
        <f>IFERROR(INDIRECT("'"&amp;$C42&amp;"'!D82")+0,"")</f>
        <v/>
      </c>
      <c r="Z42" s="21">
        <f>IFERROR(INDIRECT("'"&amp;$C42&amp;"'!D84")+0,"")</f>
        <v/>
      </c>
      <c r="AA42" s="12">
        <f>IFERROR(INDIRECT("'"&amp;$C42&amp;"'!D89")+INDIRECT("'"&amp;$C42&amp;"'!D94"),"")</f>
        <v/>
      </c>
    </row>
    <row r="43" ht="15.75" customHeight="1" s="59">
      <c r="A43" s="9" t="n"/>
      <c r="B43" s="10" t="n"/>
      <c r="C43" s="10" t="n"/>
      <c r="D43" s="10" t="n"/>
      <c r="E43" s="10" t="n"/>
      <c r="F43" s="10" t="n"/>
      <c r="G43" s="10" t="n"/>
      <c r="H43" s="10" t="n"/>
      <c r="I43" s="10" t="n"/>
      <c r="J43" s="11">
        <f>IF($C43="","",IF(ISERROR(INDIRECT("'"&amp;$C43&amp;"'!C1")),"no tab yet",IF(N(Y43)+N(AA43)=0,"tab empty",IF(N(T43)&gt;0,"check inputs","costed"))))</f>
        <v/>
      </c>
      <c r="K43" s="12">
        <f>IF(OR($J43="",$J43="no tab yet",$J43="tab empty"),"",IFERROR(INDIRECT("'"&amp;$C43&amp;"'!D87")+INDIRECT("'"&amp;$C43&amp;"'!D88"),""))</f>
        <v/>
      </c>
      <c r="L43" s="12">
        <f>IF(OR($J43="",$J43="no tab yet",$J43="tab empty"),"",IFERROR(INDIRECT("'"&amp;$C43&amp;"'!D89")+0,""))</f>
        <v/>
      </c>
      <c r="M43" s="12">
        <f>IF(OR($J43="",$J43="no tab yet",$J43="tab empty"),"",IFERROR(SUM(INDIRECT("'"&amp;$C43&amp;"'!D90:D93")),""))</f>
        <v/>
      </c>
      <c r="N43" s="12">
        <f>IF(OR($J43="",$J43="no tab yet",$J43="tab empty"),"",IFERROR(INDIRECT("'"&amp;$C43&amp;"'!D94")+0,""))</f>
        <v/>
      </c>
      <c r="O43" s="12">
        <f>IF(OR($J43="",$J43="no tab yet",$J43="tab empty"),"",IFERROR(INDIRECT("'"&amp;$C43&amp;"'!D95")+0,""))</f>
        <v/>
      </c>
      <c r="P43" s="12">
        <f>IF(OR($J43="",$J43="no tab yet",$J43="tab empty"),"",IFERROR(INDIRECT("'"&amp;$C43&amp;"'!D97"),""))</f>
        <v/>
      </c>
      <c r="Q43" s="16">
        <f>IF(OR($J43="",$J43="no tab yet",$J43="tab empty"),"",IFERROR(INDIRECT("'"&amp;$C43&amp;"'!D98")+0,""))</f>
        <v/>
      </c>
      <c r="R43" s="12">
        <f>IF(AND(ISNUMBER(H43),ISNUMBER(Q43)),H43*Q43,"")</f>
        <v/>
      </c>
      <c r="S43" s="18">
        <f>IFERROR(INDIRECT("'"&amp;$C43&amp;"'!D86")+0,"")</f>
        <v/>
      </c>
      <c r="T43" s="11">
        <f>IFERROR(INDIRECT("'"&amp;$C43&amp;"'!D102")+0,"")</f>
        <v/>
      </c>
      <c r="U43" s="10" t="n"/>
      <c r="V43" s="10" t="n"/>
      <c r="W43" s="10" t="n"/>
      <c r="X43" s="10" t="n"/>
      <c r="Y43" s="20">
        <f>IFERROR(INDIRECT("'"&amp;$C43&amp;"'!D82")+0,"")</f>
        <v/>
      </c>
      <c r="Z43" s="21">
        <f>IFERROR(INDIRECT("'"&amp;$C43&amp;"'!D84")+0,"")</f>
        <v/>
      </c>
      <c r="AA43" s="12">
        <f>IFERROR(INDIRECT("'"&amp;$C43&amp;"'!D89")+INDIRECT("'"&amp;$C43&amp;"'!D94"),"")</f>
        <v/>
      </c>
    </row>
    <row r="44" ht="15.75" customHeight="1" s="59">
      <c r="A44" s="9" t="n"/>
      <c r="B44" s="10" t="n"/>
      <c r="C44" s="10" t="n"/>
      <c r="D44" s="10" t="n"/>
      <c r="E44" s="10" t="n"/>
      <c r="F44" s="10" t="n"/>
      <c r="G44" s="10" t="n"/>
      <c r="H44" s="10" t="n"/>
      <c r="I44" s="10" t="n"/>
      <c r="J44" s="11">
        <f>IF($C44="","",IF(ISERROR(INDIRECT("'"&amp;$C44&amp;"'!C1")),"no tab yet",IF(N(Y44)+N(AA44)=0,"tab empty",IF(N(T44)&gt;0,"check inputs","costed"))))</f>
        <v/>
      </c>
      <c r="K44" s="12">
        <f>IF(OR($J44="",$J44="no tab yet",$J44="tab empty"),"",IFERROR(INDIRECT("'"&amp;$C44&amp;"'!D87")+INDIRECT("'"&amp;$C44&amp;"'!D88"),""))</f>
        <v/>
      </c>
      <c r="L44" s="12">
        <f>IF(OR($J44="",$J44="no tab yet",$J44="tab empty"),"",IFERROR(INDIRECT("'"&amp;$C44&amp;"'!D89")+0,""))</f>
        <v/>
      </c>
      <c r="M44" s="12">
        <f>IF(OR($J44="",$J44="no tab yet",$J44="tab empty"),"",IFERROR(SUM(INDIRECT("'"&amp;$C44&amp;"'!D90:D93")),""))</f>
        <v/>
      </c>
      <c r="N44" s="12">
        <f>IF(OR($J44="",$J44="no tab yet",$J44="tab empty"),"",IFERROR(INDIRECT("'"&amp;$C44&amp;"'!D94")+0,""))</f>
        <v/>
      </c>
      <c r="O44" s="12">
        <f>IF(OR($J44="",$J44="no tab yet",$J44="tab empty"),"",IFERROR(INDIRECT("'"&amp;$C44&amp;"'!D95")+0,""))</f>
        <v/>
      </c>
      <c r="P44" s="12">
        <f>IF(OR($J44="",$J44="no tab yet",$J44="tab empty"),"",IFERROR(INDIRECT("'"&amp;$C44&amp;"'!D97"),""))</f>
        <v/>
      </c>
      <c r="Q44" s="16">
        <f>IF(OR($J44="",$J44="no tab yet",$J44="tab empty"),"",IFERROR(INDIRECT("'"&amp;$C44&amp;"'!D98")+0,""))</f>
        <v/>
      </c>
      <c r="R44" s="12">
        <f>IF(AND(ISNUMBER(H44),ISNUMBER(Q44)),H44*Q44,"")</f>
        <v/>
      </c>
      <c r="S44" s="18">
        <f>IFERROR(INDIRECT("'"&amp;$C44&amp;"'!D86")+0,"")</f>
        <v/>
      </c>
      <c r="T44" s="11">
        <f>IFERROR(INDIRECT("'"&amp;$C44&amp;"'!D102")+0,"")</f>
        <v/>
      </c>
      <c r="U44" s="10" t="n"/>
      <c r="V44" s="10" t="n"/>
      <c r="W44" s="10" t="n"/>
      <c r="X44" s="10" t="n"/>
      <c r="Y44" s="20">
        <f>IFERROR(INDIRECT("'"&amp;$C44&amp;"'!D82")+0,"")</f>
        <v/>
      </c>
      <c r="Z44" s="21">
        <f>IFERROR(INDIRECT("'"&amp;$C44&amp;"'!D84")+0,"")</f>
        <v/>
      </c>
      <c r="AA44" s="12">
        <f>IFERROR(INDIRECT("'"&amp;$C44&amp;"'!D89")+INDIRECT("'"&amp;$C44&amp;"'!D94"),"")</f>
        <v/>
      </c>
    </row>
    <row r="45" ht="15.75" customHeight="1" s="59">
      <c r="A45" s="9" t="n"/>
      <c r="B45" s="10" t="n"/>
      <c r="C45" s="10" t="n"/>
      <c r="D45" s="10" t="n"/>
      <c r="E45" s="10" t="n"/>
      <c r="F45" s="10" t="n"/>
      <c r="G45" s="10" t="n"/>
      <c r="H45" s="10" t="n"/>
      <c r="I45" s="10" t="n"/>
      <c r="J45" s="11">
        <f>IF($C45="","",IF(ISERROR(INDIRECT("'"&amp;$C45&amp;"'!C1")),"no tab yet",IF(N(Y45)+N(AA45)=0,"tab empty",IF(N(T45)&gt;0,"check inputs","costed"))))</f>
        <v/>
      </c>
      <c r="K45" s="12">
        <f>IF(OR($J45="",$J45="no tab yet",$J45="tab empty"),"",IFERROR(INDIRECT("'"&amp;$C45&amp;"'!D87")+INDIRECT("'"&amp;$C45&amp;"'!D88"),""))</f>
        <v/>
      </c>
      <c r="L45" s="12">
        <f>IF(OR($J45="",$J45="no tab yet",$J45="tab empty"),"",IFERROR(INDIRECT("'"&amp;$C45&amp;"'!D89")+0,""))</f>
        <v/>
      </c>
      <c r="M45" s="12">
        <f>IF(OR($J45="",$J45="no tab yet",$J45="tab empty"),"",IFERROR(SUM(INDIRECT("'"&amp;$C45&amp;"'!D90:D93")),""))</f>
        <v/>
      </c>
      <c r="N45" s="12">
        <f>IF(OR($J45="",$J45="no tab yet",$J45="tab empty"),"",IFERROR(INDIRECT("'"&amp;$C45&amp;"'!D94")+0,""))</f>
        <v/>
      </c>
      <c r="O45" s="12">
        <f>IF(OR($J45="",$J45="no tab yet",$J45="tab empty"),"",IFERROR(INDIRECT("'"&amp;$C45&amp;"'!D95")+0,""))</f>
        <v/>
      </c>
      <c r="P45" s="12">
        <f>IF(OR($J45="",$J45="no tab yet",$J45="tab empty"),"",IFERROR(INDIRECT("'"&amp;$C45&amp;"'!D97"),""))</f>
        <v/>
      </c>
      <c r="Q45" s="16">
        <f>IF(OR($J45="",$J45="no tab yet",$J45="tab empty"),"",IFERROR(INDIRECT("'"&amp;$C45&amp;"'!D98")+0,""))</f>
        <v/>
      </c>
      <c r="R45" s="12">
        <f>IF(AND(ISNUMBER(H45),ISNUMBER(Q45)),H45*Q45,"")</f>
        <v/>
      </c>
      <c r="S45" s="18">
        <f>IFERROR(INDIRECT("'"&amp;$C45&amp;"'!D86")+0,"")</f>
        <v/>
      </c>
      <c r="T45" s="11">
        <f>IFERROR(INDIRECT("'"&amp;$C45&amp;"'!D102")+0,"")</f>
        <v/>
      </c>
      <c r="U45" s="10" t="n"/>
      <c r="V45" s="10" t="n"/>
      <c r="W45" s="10" t="n"/>
      <c r="X45" s="10" t="n"/>
      <c r="Y45" s="20">
        <f>IFERROR(INDIRECT("'"&amp;$C45&amp;"'!D82")+0,"")</f>
        <v/>
      </c>
      <c r="Z45" s="21">
        <f>IFERROR(INDIRECT("'"&amp;$C45&amp;"'!D84")+0,"")</f>
        <v/>
      </c>
      <c r="AA45" s="12">
        <f>IFERROR(INDIRECT("'"&amp;$C45&amp;"'!D89")+INDIRECT("'"&amp;$C45&amp;"'!D94"),"")</f>
        <v/>
      </c>
    </row>
    <row r="46" ht="15.75" customHeight="1" s="59">
      <c r="A46" s="9" t="n"/>
      <c r="B46" s="10" t="n"/>
      <c r="C46" s="10" t="n"/>
      <c r="D46" s="10" t="n"/>
      <c r="E46" s="10" t="n"/>
      <c r="F46" s="10" t="n"/>
      <c r="G46" s="10" t="n"/>
      <c r="H46" s="10" t="n"/>
      <c r="I46" s="10" t="n"/>
      <c r="J46" s="11">
        <f>IF($C46="","",IF(ISERROR(INDIRECT("'"&amp;$C46&amp;"'!C1")),"no tab yet",IF(N(Y46)+N(AA46)=0,"tab empty",IF(N(T46)&gt;0,"check inputs","costed"))))</f>
        <v/>
      </c>
      <c r="K46" s="12">
        <f>IF(OR($J46="",$J46="no tab yet",$J46="tab empty"),"",IFERROR(INDIRECT("'"&amp;$C46&amp;"'!D87")+INDIRECT("'"&amp;$C46&amp;"'!D88"),""))</f>
        <v/>
      </c>
      <c r="L46" s="12">
        <f>IF(OR($J46="",$J46="no tab yet",$J46="tab empty"),"",IFERROR(INDIRECT("'"&amp;$C46&amp;"'!D89")+0,""))</f>
        <v/>
      </c>
      <c r="M46" s="12">
        <f>IF(OR($J46="",$J46="no tab yet",$J46="tab empty"),"",IFERROR(SUM(INDIRECT("'"&amp;$C46&amp;"'!D90:D93")),""))</f>
        <v/>
      </c>
      <c r="N46" s="12">
        <f>IF(OR($J46="",$J46="no tab yet",$J46="tab empty"),"",IFERROR(INDIRECT("'"&amp;$C46&amp;"'!D94")+0,""))</f>
        <v/>
      </c>
      <c r="O46" s="12">
        <f>IF(OR($J46="",$J46="no tab yet",$J46="tab empty"),"",IFERROR(INDIRECT("'"&amp;$C46&amp;"'!D95")+0,""))</f>
        <v/>
      </c>
      <c r="P46" s="12">
        <f>IF(OR($J46="",$J46="no tab yet",$J46="tab empty"),"",IFERROR(INDIRECT("'"&amp;$C46&amp;"'!D97"),""))</f>
        <v/>
      </c>
      <c r="Q46" s="16">
        <f>IF(OR($J46="",$J46="no tab yet",$J46="tab empty"),"",IFERROR(INDIRECT("'"&amp;$C46&amp;"'!D98")+0,""))</f>
        <v/>
      </c>
      <c r="R46" s="12">
        <f>IF(AND(ISNUMBER(H46),ISNUMBER(Q46)),H46*Q46,"")</f>
        <v/>
      </c>
      <c r="S46" s="18">
        <f>IFERROR(INDIRECT("'"&amp;$C46&amp;"'!D86")+0,"")</f>
        <v/>
      </c>
      <c r="T46" s="11">
        <f>IFERROR(INDIRECT("'"&amp;$C46&amp;"'!D102")+0,"")</f>
        <v/>
      </c>
      <c r="U46" s="10" t="n"/>
      <c r="V46" s="10" t="n"/>
      <c r="W46" s="10" t="n"/>
      <c r="X46" s="10" t="n"/>
      <c r="Y46" s="20">
        <f>IFERROR(INDIRECT("'"&amp;$C46&amp;"'!D82")+0,"")</f>
        <v/>
      </c>
      <c r="Z46" s="21">
        <f>IFERROR(INDIRECT("'"&amp;$C46&amp;"'!D84")+0,"")</f>
        <v/>
      </c>
      <c r="AA46" s="12">
        <f>IFERROR(INDIRECT("'"&amp;$C46&amp;"'!D89")+INDIRECT("'"&amp;$C46&amp;"'!D94"),"")</f>
        <v/>
      </c>
    </row>
    <row r="47" ht="15.75" customHeight="1" s="59">
      <c r="A47" s="9" t="n"/>
      <c r="B47" s="10" t="n"/>
      <c r="C47" s="10" t="n"/>
      <c r="D47" s="10" t="n"/>
      <c r="E47" s="10" t="n"/>
      <c r="F47" s="10" t="n"/>
      <c r="G47" s="10" t="n"/>
      <c r="H47" s="10" t="n"/>
      <c r="I47" s="10" t="n"/>
      <c r="J47" s="11">
        <f>IF($C47="","",IF(ISERROR(INDIRECT("'"&amp;$C47&amp;"'!C1")),"no tab yet",IF(N(Y47)+N(AA47)=0,"tab empty",IF(N(T47)&gt;0,"check inputs","costed"))))</f>
        <v/>
      </c>
      <c r="K47" s="12">
        <f>IF(OR($J47="",$J47="no tab yet",$J47="tab empty"),"",IFERROR(INDIRECT("'"&amp;$C47&amp;"'!D87")+INDIRECT("'"&amp;$C47&amp;"'!D88"),""))</f>
        <v/>
      </c>
      <c r="L47" s="12">
        <f>IF(OR($J47="",$J47="no tab yet",$J47="tab empty"),"",IFERROR(INDIRECT("'"&amp;$C47&amp;"'!D89")+0,""))</f>
        <v/>
      </c>
      <c r="M47" s="12">
        <f>IF(OR($J47="",$J47="no tab yet",$J47="tab empty"),"",IFERROR(SUM(INDIRECT("'"&amp;$C47&amp;"'!D90:D93")),""))</f>
        <v/>
      </c>
      <c r="N47" s="12">
        <f>IF(OR($J47="",$J47="no tab yet",$J47="tab empty"),"",IFERROR(INDIRECT("'"&amp;$C47&amp;"'!D94")+0,""))</f>
        <v/>
      </c>
      <c r="O47" s="12">
        <f>IF(OR($J47="",$J47="no tab yet",$J47="tab empty"),"",IFERROR(INDIRECT("'"&amp;$C47&amp;"'!D95")+0,""))</f>
        <v/>
      </c>
      <c r="P47" s="12">
        <f>IF(OR($J47="",$J47="no tab yet",$J47="tab empty"),"",IFERROR(INDIRECT("'"&amp;$C47&amp;"'!D97"),""))</f>
        <v/>
      </c>
      <c r="Q47" s="16">
        <f>IF(OR($J47="",$J47="no tab yet",$J47="tab empty"),"",IFERROR(INDIRECT("'"&amp;$C47&amp;"'!D98")+0,""))</f>
        <v/>
      </c>
      <c r="R47" s="12">
        <f>IF(AND(ISNUMBER(H47),ISNUMBER(Q47)),H47*Q47,"")</f>
        <v/>
      </c>
      <c r="S47" s="18">
        <f>IFERROR(INDIRECT("'"&amp;$C47&amp;"'!D86")+0,"")</f>
        <v/>
      </c>
      <c r="T47" s="11">
        <f>IFERROR(INDIRECT("'"&amp;$C47&amp;"'!D102")+0,"")</f>
        <v/>
      </c>
      <c r="U47" s="10" t="n"/>
      <c r="V47" s="10" t="n"/>
      <c r="W47" s="10" t="n"/>
      <c r="X47" s="10" t="n"/>
      <c r="Y47" s="20">
        <f>IFERROR(INDIRECT("'"&amp;$C47&amp;"'!D82")+0,"")</f>
        <v/>
      </c>
      <c r="Z47" s="21">
        <f>IFERROR(INDIRECT("'"&amp;$C47&amp;"'!D84")+0,"")</f>
        <v/>
      </c>
      <c r="AA47" s="12">
        <f>IFERROR(INDIRECT("'"&amp;$C47&amp;"'!D89")+INDIRECT("'"&amp;$C47&amp;"'!D94"),"")</f>
        <v/>
      </c>
    </row>
    <row r="48" ht="15.75" customHeight="1" s="59">
      <c r="A48" s="9" t="n"/>
      <c r="B48" s="10" t="n"/>
      <c r="C48" s="10" t="n"/>
      <c r="D48" s="10" t="n"/>
      <c r="E48" s="10" t="n"/>
      <c r="F48" s="10" t="n"/>
      <c r="G48" s="10" t="n"/>
      <c r="H48" s="10" t="n"/>
      <c r="I48" s="10" t="n"/>
      <c r="J48" s="11">
        <f>IF($C48="","",IF(ISERROR(INDIRECT("'"&amp;$C48&amp;"'!C1")),"no tab yet",IF(N(Y48)+N(AA48)=0,"tab empty",IF(N(T48)&gt;0,"check inputs","costed"))))</f>
        <v/>
      </c>
      <c r="K48" s="12">
        <f>IF(OR($J48="",$J48="no tab yet",$J48="tab empty"),"",IFERROR(INDIRECT("'"&amp;$C48&amp;"'!D87")+INDIRECT("'"&amp;$C48&amp;"'!D88"),""))</f>
        <v/>
      </c>
      <c r="L48" s="12">
        <f>IF(OR($J48="",$J48="no tab yet",$J48="tab empty"),"",IFERROR(INDIRECT("'"&amp;$C48&amp;"'!D89")+0,""))</f>
        <v/>
      </c>
      <c r="M48" s="12">
        <f>IF(OR($J48="",$J48="no tab yet",$J48="tab empty"),"",IFERROR(SUM(INDIRECT("'"&amp;$C48&amp;"'!D90:D93")),""))</f>
        <v/>
      </c>
      <c r="N48" s="12">
        <f>IF(OR($J48="",$J48="no tab yet",$J48="tab empty"),"",IFERROR(INDIRECT("'"&amp;$C48&amp;"'!D94")+0,""))</f>
        <v/>
      </c>
      <c r="O48" s="12">
        <f>IF(OR($J48="",$J48="no tab yet",$J48="tab empty"),"",IFERROR(INDIRECT("'"&amp;$C48&amp;"'!D95")+0,""))</f>
        <v/>
      </c>
      <c r="P48" s="12">
        <f>IF(OR($J48="",$J48="no tab yet",$J48="tab empty"),"",IFERROR(INDIRECT("'"&amp;$C48&amp;"'!D97"),""))</f>
        <v/>
      </c>
      <c r="Q48" s="16">
        <f>IF(OR($J48="",$J48="no tab yet",$J48="tab empty"),"",IFERROR(INDIRECT("'"&amp;$C48&amp;"'!D98")+0,""))</f>
        <v/>
      </c>
      <c r="R48" s="12">
        <f>IF(AND(ISNUMBER(H48),ISNUMBER(Q48)),H48*Q48,"")</f>
        <v/>
      </c>
      <c r="S48" s="18">
        <f>IFERROR(INDIRECT("'"&amp;$C48&amp;"'!D86")+0,"")</f>
        <v/>
      </c>
      <c r="T48" s="11">
        <f>IFERROR(INDIRECT("'"&amp;$C48&amp;"'!D102")+0,"")</f>
        <v/>
      </c>
      <c r="U48" s="10" t="n"/>
      <c r="V48" s="10" t="n"/>
      <c r="W48" s="10" t="n"/>
      <c r="X48" s="10" t="n"/>
      <c r="Y48" s="20">
        <f>IFERROR(INDIRECT("'"&amp;$C48&amp;"'!D82")+0,"")</f>
        <v/>
      </c>
      <c r="Z48" s="21">
        <f>IFERROR(INDIRECT("'"&amp;$C48&amp;"'!D84")+0,"")</f>
        <v/>
      </c>
      <c r="AA48" s="12">
        <f>IFERROR(INDIRECT("'"&amp;$C48&amp;"'!D89")+INDIRECT("'"&amp;$C48&amp;"'!D94"),"")</f>
        <v/>
      </c>
    </row>
    <row r="49" ht="15.75" customHeight="1" s="59">
      <c r="A49" s="9" t="n"/>
      <c r="B49" s="10" t="n"/>
      <c r="C49" s="10" t="n"/>
      <c r="D49" s="10" t="n"/>
      <c r="E49" s="10" t="n"/>
      <c r="F49" s="10" t="n"/>
      <c r="G49" s="10" t="n"/>
      <c r="H49" s="10" t="n"/>
      <c r="I49" s="10" t="n"/>
      <c r="J49" s="11">
        <f>IF($C49="","",IF(ISERROR(INDIRECT("'"&amp;$C49&amp;"'!C1")),"no tab yet",IF(N(Y49)+N(AA49)=0,"tab empty",IF(N(T49)&gt;0,"check inputs","costed"))))</f>
        <v/>
      </c>
      <c r="K49" s="12">
        <f>IF(OR($J49="",$J49="no tab yet",$J49="tab empty"),"",IFERROR(INDIRECT("'"&amp;$C49&amp;"'!D87")+INDIRECT("'"&amp;$C49&amp;"'!D88"),""))</f>
        <v/>
      </c>
      <c r="L49" s="12">
        <f>IF(OR($J49="",$J49="no tab yet",$J49="tab empty"),"",IFERROR(INDIRECT("'"&amp;$C49&amp;"'!D89")+0,""))</f>
        <v/>
      </c>
      <c r="M49" s="12">
        <f>IF(OR($J49="",$J49="no tab yet",$J49="tab empty"),"",IFERROR(SUM(INDIRECT("'"&amp;$C49&amp;"'!D90:D93")),""))</f>
        <v/>
      </c>
      <c r="N49" s="12">
        <f>IF(OR($J49="",$J49="no tab yet",$J49="tab empty"),"",IFERROR(INDIRECT("'"&amp;$C49&amp;"'!D94")+0,""))</f>
        <v/>
      </c>
      <c r="O49" s="12">
        <f>IF(OR($J49="",$J49="no tab yet",$J49="tab empty"),"",IFERROR(INDIRECT("'"&amp;$C49&amp;"'!D95")+0,""))</f>
        <v/>
      </c>
      <c r="P49" s="12">
        <f>IF(OR($J49="",$J49="no tab yet",$J49="tab empty"),"",IFERROR(INDIRECT("'"&amp;$C49&amp;"'!D97"),""))</f>
        <v/>
      </c>
      <c r="Q49" s="16">
        <f>IF(OR($J49="",$J49="no tab yet",$J49="tab empty"),"",IFERROR(INDIRECT("'"&amp;$C49&amp;"'!D98")+0,""))</f>
        <v/>
      </c>
      <c r="R49" s="12">
        <f>IF(AND(ISNUMBER(H49),ISNUMBER(Q49)),H49*Q49,"")</f>
        <v/>
      </c>
      <c r="S49" s="18">
        <f>IFERROR(INDIRECT("'"&amp;$C49&amp;"'!D86")+0,"")</f>
        <v/>
      </c>
      <c r="T49" s="11">
        <f>IFERROR(INDIRECT("'"&amp;$C49&amp;"'!D102")+0,"")</f>
        <v/>
      </c>
      <c r="U49" s="10" t="n"/>
      <c r="V49" s="10" t="n"/>
      <c r="W49" s="10" t="n"/>
      <c r="X49" s="10" t="n"/>
      <c r="Y49" s="20">
        <f>IFERROR(INDIRECT("'"&amp;$C49&amp;"'!D82")+0,"")</f>
        <v/>
      </c>
      <c r="Z49" s="21">
        <f>IFERROR(INDIRECT("'"&amp;$C49&amp;"'!D84")+0,"")</f>
        <v/>
      </c>
      <c r="AA49" s="12">
        <f>IFERROR(INDIRECT("'"&amp;$C49&amp;"'!D89")+INDIRECT("'"&amp;$C49&amp;"'!D94"),"")</f>
        <v/>
      </c>
    </row>
    <row r="50" ht="15.75" customHeight="1" s="59">
      <c r="A50" s="9" t="n"/>
      <c r="B50" s="10" t="n"/>
      <c r="C50" s="10" t="n"/>
      <c r="D50" s="10" t="n"/>
      <c r="E50" s="10" t="n"/>
      <c r="F50" s="10" t="n"/>
      <c r="G50" s="10" t="n"/>
      <c r="H50" s="10" t="n"/>
      <c r="I50" s="10" t="n"/>
      <c r="J50" s="11">
        <f>IF($C50="","",IF(ISERROR(INDIRECT("'"&amp;$C50&amp;"'!C1")),"no tab yet",IF(N(Y50)+N(AA50)=0,"tab empty",IF(N(T50)&gt;0,"check inputs","costed"))))</f>
        <v/>
      </c>
      <c r="K50" s="12">
        <f>IF(OR($J50="",$J50="no tab yet",$J50="tab empty"),"",IFERROR(INDIRECT("'"&amp;$C50&amp;"'!D87")+INDIRECT("'"&amp;$C50&amp;"'!D88"),""))</f>
        <v/>
      </c>
      <c r="L50" s="12">
        <f>IF(OR($J50="",$J50="no tab yet",$J50="tab empty"),"",IFERROR(INDIRECT("'"&amp;$C50&amp;"'!D89")+0,""))</f>
        <v/>
      </c>
      <c r="M50" s="12">
        <f>IF(OR($J50="",$J50="no tab yet",$J50="tab empty"),"",IFERROR(SUM(INDIRECT("'"&amp;$C50&amp;"'!D90:D93")),""))</f>
        <v/>
      </c>
      <c r="N50" s="12">
        <f>IF(OR($J50="",$J50="no tab yet",$J50="tab empty"),"",IFERROR(INDIRECT("'"&amp;$C50&amp;"'!D94")+0,""))</f>
        <v/>
      </c>
      <c r="O50" s="12">
        <f>IF(OR($J50="",$J50="no tab yet",$J50="tab empty"),"",IFERROR(INDIRECT("'"&amp;$C50&amp;"'!D95")+0,""))</f>
        <v/>
      </c>
      <c r="P50" s="12">
        <f>IF(OR($J50="",$J50="no tab yet",$J50="tab empty"),"",IFERROR(INDIRECT("'"&amp;$C50&amp;"'!D97"),""))</f>
        <v/>
      </c>
      <c r="Q50" s="16">
        <f>IF(OR($J50="",$J50="no tab yet",$J50="tab empty"),"",IFERROR(INDIRECT("'"&amp;$C50&amp;"'!D98")+0,""))</f>
        <v/>
      </c>
      <c r="R50" s="12">
        <f>IF(AND(ISNUMBER(H50),ISNUMBER(Q50)),H50*Q50,"")</f>
        <v/>
      </c>
      <c r="S50" s="18">
        <f>IFERROR(INDIRECT("'"&amp;$C50&amp;"'!D86")+0,"")</f>
        <v/>
      </c>
      <c r="T50" s="11">
        <f>IFERROR(INDIRECT("'"&amp;$C50&amp;"'!D102")+0,"")</f>
        <v/>
      </c>
      <c r="U50" s="10" t="n"/>
      <c r="V50" s="10" t="n"/>
      <c r="W50" s="10" t="n"/>
      <c r="X50" s="10" t="n"/>
      <c r="Y50" s="20">
        <f>IFERROR(INDIRECT("'"&amp;$C50&amp;"'!D82")+0,"")</f>
        <v/>
      </c>
      <c r="Z50" s="21">
        <f>IFERROR(INDIRECT("'"&amp;$C50&amp;"'!D84")+0,"")</f>
        <v/>
      </c>
      <c r="AA50" s="12">
        <f>IFERROR(INDIRECT("'"&amp;$C50&amp;"'!D89")+INDIRECT("'"&amp;$C50&amp;"'!D94"),"")</f>
        <v/>
      </c>
    </row>
    <row r="51" ht="15.75" customHeight="1" s="59">
      <c r="A51" s="9" t="n"/>
      <c r="B51" s="10" t="n"/>
      <c r="C51" s="10" t="n"/>
      <c r="D51" s="10" t="n"/>
      <c r="E51" s="10" t="n"/>
      <c r="F51" s="10" t="n"/>
      <c r="G51" s="10" t="n"/>
      <c r="H51" s="10" t="n"/>
      <c r="I51" s="10" t="n"/>
      <c r="J51" s="11">
        <f>IF($C51="","",IF(ISERROR(INDIRECT("'"&amp;$C51&amp;"'!C1")),"no tab yet",IF(N(Y51)+N(AA51)=0,"tab empty",IF(N(T51)&gt;0,"check inputs","costed"))))</f>
        <v/>
      </c>
      <c r="K51" s="12">
        <f>IF(OR($J51="",$J51="no tab yet",$J51="tab empty"),"",IFERROR(INDIRECT("'"&amp;$C51&amp;"'!D87")+INDIRECT("'"&amp;$C51&amp;"'!D88"),""))</f>
        <v/>
      </c>
      <c r="L51" s="12">
        <f>IF(OR($J51="",$J51="no tab yet",$J51="tab empty"),"",IFERROR(INDIRECT("'"&amp;$C51&amp;"'!D89")+0,""))</f>
        <v/>
      </c>
      <c r="M51" s="12">
        <f>IF(OR($J51="",$J51="no tab yet",$J51="tab empty"),"",IFERROR(SUM(INDIRECT("'"&amp;$C51&amp;"'!D90:D93")),""))</f>
        <v/>
      </c>
      <c r="N51" s="12">
        <f>IF(OR($J51="",$J51="no tab yet",$J51="tab empty"),"",IFERROR(INDIRECT("'"&amp;$C51&amp;"'!D94")+0,""))</f>
        <v/>
      </c>
      <c r="O51" s="12">
        <f>IF(OR($J51="",$J51="no tab yet",$J51="tab empty"),"",IFERROR(INDIRECT("'"&amp;$C51&amp;"'!D95")+0,""))</f>
        <v/>
      </c>
      <c r="P51" s="12">
        <f>IF(OR($J51="",$J51="no tab yet",$J51="tab empty"),"",IFERROR(INDIRECT("'"&amp;$C51&amp;"'!D97"),""))</f>
        <v/>
      </c>
      <c r="Q51" s="16">
        <f>IF(OR($J51="",$J51="no tab yet",$J51="tab empty"),"",IFERROR(INDIRECT("'"&amp;$C51&amp;"'!D98")+0,""))</f>
        <v/>
      </c>
      <c r="R51" s="12">
        <f>IF(AND(ISNUMBER(H51),ISNUMBER(Q51)),H51*Q51,"")</f>
        <v/>
      </c>
      <c r="S51" s="18">
        <f>IFERROR(INDIRECT("'"&amp;$C51&amp;"'!D86")+0,"")</f>
        <v/>
      </c>
      <c r="T51" s="11">
        <f>IFERROR(INDIRECT("'"&amp;$C51&amp;"'!D102")+0,"")</f>
        <v/>
      </c>
      <c r="U51" s="10" t="n"/>
      <c r="V51" s="10" t="n"/>
      <c r="W51" s="10" t="n"/>
      <c r="X51" s="10" t="n"/>
      <c r="Y51" s="20">
        <f>IFERROR(INDIRECT("'"&amp;$C51&amp;"'!D82")+0,"")</f>
        <v/>
      </c>
      <c r="Z51" s="21">
        <f>IFERROR(INDIRECT("'"&amp;$C51&amp;"'!D84")+0,"")</f>
        <v/>
      </c>
      <c r="AA51" s="12">
        <f>IFERROR(INDIRECT("'"&amp;$C51&amp;"'!D89")+INDIRECT("'"&amp;$C51&amp;"'!D94"),"")</f>
        <v/>
      </c>
    </row>
    <row r="52" ht="15.75" customHeight="1" s="59">
      <c r="A52" s="9" t="n"/>
      <c r="B52" s="10" t="n"/>
      <c r="C52" s="10" t="n"/>
      <c r="D52" s="10" t="n"/>
      <c r="E52" s="10" t="n"/>
      <c r="F52" s="10" t="n"/>
      <c r="G52" s="10" t="n"/>
      <c r="H52" s="10" t="n"/>
      <c r="I52" s="10" t="n"/>
      <c r="J52" s="11">
        <f>IF($C52="","",IF(ISERROR(INDIRECT("'"&amp;$C52&amp;"'!C1")),"no tab yet",IF(N(Y52)+N(AA52)=0,"tab empty",IF(N(T52)&gt;0,"check inputs","costed"))))</f>
        <v/>
      </c>
      <c r="K52" s="12">
        <f>IF(OR($J52="",$J52="no tab yet",$J52="tab empty"),"",IFERROR(INDIRECT("'"&amp;$C52&amp;"'!D87")+INDIRECT("'"&amp;$C52&amp;"'!D88"),""))</f>
        <v/>
      </c>
      <c r="L52" s="12">
        <f>IF(OR($J52="",$J52="no tab yet",$J52="tab empty"),"",IFERROR(INDIRECT("'"&amp;$C52&amp;"'!D89")+0,""))</f>
        <v/>
      </c>
      <c r="M52" s="12">
        <f>IF(OR($J52="",$J52="no tab yet",$J52="tab empty"),"",IFERROR(SUM(INDIRECT("'"&amp;$C52&amp;"'!D90:D93")),""))</f>
        <v/>
      </c>
      <c r="N52" s="12">
        <f>IF(OR($J52="",$J52="no tab yet",$J52="tab empty"),"",IFERROR(INDIRECT("'"&amp;$C52&amp;"'!D94")+0,""))</f>
        <v/>
      </c>
      <c r="O52" s="12">
        <f>IF(OR($J52="",$J52="no tab yet",$J52="tab empty"),"",IFERROR(INDIRECT("'"&amp;$C52&amp;"'!D95")+0,""))</f>
        <v/>
      </c>
      <c r="P52" s="12">
        <f>IF(OR($J52="",$J52="no tab yet",$J52="tab empty"),"",IFERROR(INDIRECT("'"&amp;$C52&amp;"'!D97"),""))</f>
        <v/>
      </c>
      <c r="Q52" s="16">
        <f>IF(OR($J52="",$J52="no tab yet",$J52="tab empty"),"",IFERROR(INDIRECT("'"&amp;$C52&amp;"'!D98")+0,""))</f>
        <v/>
      </c>
      <c r="R52" s="12">
        <f>IF(AND(ISNUMBER(H52),ISNUMBER(Q52)),H52*Q52,"")</f>
        <v/>
      </c>
      <c r="S52" s="18">
        <f>IFERROR(INDIRECT("'"&amp;$C52&amp;"'!D86")+0,"")</f>
        <v/>
      </c>
      <c r="T52" s="11">
        <f>IFERROR(INDIRECT("'"&amp;$C52&amp;"'!D102")+0,"")</f>
        <v/>
      </c>
      <c r="U52" s="10" t="n"/>
      <c r="V52" s="10" t="n"/>
      <c r="W52" s="10" t="n"/>
      <c r="X52" s="10" t="n"/>
      <c r="Y52" s="20">
        <f>IFERROR(INDIRECT("'"&amp;$C52&amp;"'!D82")+0,"")</f>
        <v/>
      </c>
      <c r="Z52" s="21">
        <f>IFERROR(INDIRECT("'"&amp;$C52&amp;"'!D84")+0,"")</f>
        <v/>
      </c>
      <c r="AA52" s="12">
        <f>IFERROR(INDIRECT("'"&amp;$C52&amp;"'!D89")+INDIRECT("'"&amp;$C52&amp;"'!D94"),"")</f>
        <v/>
      </c>
    </row>
    <row r="53" ht="15.75" customHeight="1" s="59">
      <c r="A53" s="9" t="n"/>
      <c r="B53" s="10" t="n"/>
      <c r="C53" s="10" t="n"/>
      <c r="D53" s="10" t="n"/>
      <c r="E53" s="10" t="n"/>
      <c r="F53" s="10" t="n"/>
      <c r="G53" s="10" t="n"/>
      <c r="H53" s="10" t="n"/>
      <c r="I53" s="10" t="n"/>
      <c r="J53" s="11">
        <f>IF($C53="","",IF(ISERROR(INDIRECT("'"&amp;$C53&amp;"'!C1")),"no tab yet",IF(N(Y53)+N(AA53)=0,"tab empty",IF(N(T53)&gt;0,"check inputs","costed"))))</f>
        <v/>
      </c>
      <c r="K53" s="12">
        <f>IF(OR($J53="",$J53="no tab yet",$J53="tab empty"),"",IFERROR(INDIRECT("'"&amp;$C53&amp;"'!D87")+INDIRECT("'"&amp;$C53&amp;"'!D88"),""))</f>
        <v/>
      </c>
      <c r="L53" s="12">
        <f>IF(OR($J53="",$J53="no tab yet",$J53="tab empty"),"",IFERROR(INDIRECT("'"&amp;$C53&amp;"'!D89")+0,""))</f>
        <v/>
      </c>
      <c r="M53" s="12">
        <f>IF(OR($J53="",$J53="no tab yet",$J53="tab empty"),"",IFERROR(SUM(INDIRECT("'"&amp;$C53&amp;"'!D90:D93")),""))</f>
        <v/>
      </c>
      <c r="N53" s="12">
        <f>IF(OR($J53="",$J53="no tab yet",$J53="tab empty"),"",IFERROR(INDIRECT("'"&amp;$C53&amp;"'!D94")+0,""))</f>
        <v/>
      </c>
      <c r="O53" s="12">
        <f>IF(OR($J53="",$J53="no tab yet",$J53="tab empty"),"",IFERROR(INDIRECT("'"&amp;$C53&amp;"'!D95")+0,""))</f>
        <v/>
      </c>
      <c r="P53" s="12">
        <f>IF(OR($J53="",$J53="no tab yet",$J53="tab empty"),"",IFERROR(INDIRECT("'"&amp;$C53&amp;"'!D97"),""))</f>
        <v/>
      </c>
      <c r="Q53" s="16">
        <f>IF(OR($J53="",$J53="no tab yet",$J53="tab empty"),"",IFERROR(INDIRECT("'"&amp;$C53&amp;"'!D98")+0,""))</f>
        <v/>
      </c>
      <c r="R53" s="12">
        <f>IF(AND(ISNUMBER(H53),ISNUMBER(Q53)),H53*Q53,"")</f>
        <v/>
      </c>
      <c r="S53" s="18">
        <f>IFERROR(INDIRECT("'"&amp;$C53&amp;"'!D86")+0,"")</f>
        <v/>
      </c>
      <c r="T53" s="11">
        <f>IFERROR(INDIRECT("'"&amp;$C53&amp;"'!D102")+0,"")</f>
        <v/>
      </c>
      <c r="U53" s="10" t="n"/>
      <c r="V53" s="10" t="n"/>
      <c r="W53" s="10" t="n"/>
      <c r="X53" s="10" t="n"/>
      <c r="Y53" s="20">
        <f>IFERROR(INDIRECT("'"&amp;$C53&amp;"'!D82")+0,"")</f>
        <v/>
      </c>
      <c r="Z53" s="21">
        <f>IFERROR(INDIRECT("'"&amp;$C53&amp;"'!D84")+0,"")</f>
        <v/>
      </c>
      <c r="AA53" s="12">
        <f>IFERROR(INDIRECT("'"&amp;$C53&amp;"'!D89")+INDIRECT("'"&amp;$C53&amp;"'!D94"),"")</f>
        <v/>
      </c>
    </row>
    <row r="54" ht="15.75" customHeight="1" s="59">
      <c r="A54" s="26" t="n"/>
      <c r="B54" s="26" t="n"/>
      <c r="C54" s="26" t="n"/>
      <c r="D54" s="27" t="n"/>
      <c r="E54" s="26" t="n"/>
      <c r="F54" s="26" t="n"/>
      <c r="G54" s="26" t="n"/>
      <c r="H54" s="27" t="n"/>
      <c r="I54" s="26" t="n"/>
      <c r="J54" s="27">
        <f>COUNTIF(J5:J53,"costed")&amp;" costed / "&amp;COUNTA(C5:C53)&amp;" items"</f>
        <v/>
      </c>
      <c r="K54" s="26" t="n"/>
      <c r="L54" s="26" t="n"/>
      <c r="M54" s="26" t="n"/>
      <c r="N54" s="26" t="n"/>
      <c r="O54" s="26" t="n"/>
      <c r="P54" s="26" t="n"/>
      <c r="Q54" s="28">
        <f>SUM(Q5:Q53)</f>
        <v/>
      </c>
      <c r="R54" s="28">
        <f>SUM(R5:R53)</f>
        <v/>
      </c>
      <c r="S54" s="29">
        <f>SUM(S5:S53)</f>
        <v/>
      </c>
      <c r="T54" s="26" t="n"/>
      <c r="U54" s="26" t="n"/>
      <c r="V54" s="26" t="n"/>
      <c r="W54" s="26" t="n"/>
      <c r="X54" s="26" t="n"/>
      <c r="Y54" s="30">
        <f>SUM(Y5:Y53)</f>
        <v/>
      </c>
      <c r="Z54" s="31">
        <f>SUM(Z5:Z53)</f>
        <v/>
      </c>
      <c r="AA54" s="26" t="n"/>
    </row>
    <row r="55" ht="15.75" customHeight="1" s="59"/>
    <row r="56" ht="15.75" customHeight="1" s="59">
      <c r="D56" s="5" t="n"/>
    </row>
    <row r="57" ht="31.5" customHeight="1" s="59">
      <c r="D57" s="8" t="n"/>
      <c r="E57" s="8" t="n"/>
      <c r="F57" s="8" t="n"/>
      <c r="G57" s="8" t="n"/>
      <c r="H57" s="8" t="n"/>
      <c r="I57" s="8" t="n"/>
      <c r="J57" s="8" t="inlineStr">
        <is>
          <t>COSTED</t>
        </is>
      </c>
      <c r="K57" s="8" t="n"/>
      <c r="L57" s="8" t="n"/>
      <c r="M57" s="8" t="n"/>
      <c r="N57" s="8" t="n"/>
      <c r="O57" s="8" t="n"/>
      <c r="P57" s="8" t="n"/>
      <c r="Q57" s="8" t="inlineStr">
        <is>
          <t>UNIT COST IDR, sum</t>
        </is>
      </c>
      <c r="R57" s="8" t="inlineStr">
        <is>
          <t>ORDER TOTAL IDR</t>
        </is>
      </c>
      <c r="S57" s="8" t="inlineStr">
        <is>
          <t>CARTON m³, sum</t>
        </is>
      </c>
      <c r="T57" s="8" t="n"/>
      <c r="U57" s="8" t="n"/>
      <c r="V57" s="8" t="n"/>
      <c r="W57" s="8" t="n"/>
      <c r="X57" s="8" t="n"/>
      <c r="Y57" s="8" t="inlineStr">
        <is>
          <t>SOLID WOOD m³, sum</t>
        </is>
      </c>
      <c r="Z57" s="8" t="inlineStr">
        <is>
          <t>FINISHING m², sum</t>
        </is>
      </c>
      <c r="AA57" s="8" t="n"/>
    </row>
    <row r="58" ht="15.75" customHeight="1" s="59">
      <c r="D58" s="13" t="n"/>
      <c r="E58" s="9" t="n"/>
      <c r="F58" s="9" t="n"/>
      <c r="G58" s="9" t="n"/>
      <c r="H58" s="9" t="n"/>
      <c r="I58" s="9" t="n"/>
      <c r="J58" s="9">
        <f>COUNTIFS($B$5:$B$53,$D58,$J$5:$J$53,"costed")</f>
        <v/>
      </c>
      <c r="K58" s="9" t="n"/>
      <c r="L58" s="9" t="n"/>
      <c r="M58" s="9" t="n"/>
      <c r="N58" s="9" t="n"/>
      <c r="O58" s="9" t="n"/>
      <c r="P58" s="9" t="n"/>
      <c r="Q58" s="32">
        <f>SUMIF($B$5:$B$53,$D58,Q$5:Q$53)</f>
        <v/>
      </c>
      <c r="R58" s="32">
        <f>SUMIF($B$5:$B$53,$D58,R$5:R$53)</f>
        <v/>
      </c>
      <c r="S58" s="33">
        <f>SUMIF($B$5:$B$53,$D58,S$5:S$53)</f>
        <v/>
      </c>
      <c r="T58" s="9" t="n"/>
      <c r="U58" s="9" t="n"/>
      <c r="V58" s="9" t="n"/>
      <c r="W58" s="9" t="n"/>
      <c r="X58" s="9" t="n"/>
      <c r="Y58" s="34">
        <f>SUMIF($B$5:$B$53,$D58,Y$5:Y$53)</f>
        <v/>
      </c>
      <c r="Z58" s="35">
        <f>SUMIF($B$5:$B$53,$D58,Z$5:Z$53)</f>
        <v/>
      </c>
      <c r="AA58" s="9" t="n"/>
    </row>
    <row r="59" ht="15.75" customHeight="1" s="59">
      <c r="D59" s="13" t="n"/>
      <c r="E59" s="9" t="n"/>
      <c r="F59" s="9" t="n"/>
      <c r="G59" s="9" t="n"/>
      <c r="H59" s="9" t="n"/>
      <c r="I59" s="9" t="n"/>
      <c r="J59" s="9">
        <f>COUNTIFS($B$5:$B$53,$D59,$J$5:$J$53,"costed")</f>
        <v/>
      </c>
      <c r="K59" s="9" t="n"/>
      <c r="L59" s="9" t="n"/>
      <c r="M59" s="9" t="n"/>
      <c r="N59" s="9" t="n"/>
      <c r="O59" s="9" t="n"/>
      <c r="P59" s="9" t="n"/>
      <c r="Q59" s="32">
        <f>SUMIF($B$5:$B$53,$D59,Q$5:Q$53)</f>
        <v/>
      </c>
      <c r="R59" s="32">
        <f>SUMIF($B$5:$B$53,$D59,R$5:R$53)</f>
        <v/>
      </c>
      <c r="S59" s="33">
        <f>SUMIF($B$5:$B$53,$D59,S$5:S$53)</f>
        <v/>
      </c>
      <c r="T59" s="9" t="n"/>
      <c r="U59" s="9" t="n"/>
      <c r="V59" s="9" t="n"/>
      <c r="W59" s="9" t="n"/>
      <c r="X59" s="9" t="n"/>
      <c r="Y59" s="34">
        <f>SUMIF($B$5:$B$53,$D59,Y$5:Y$53)</f>
        <v/>
      </c>
      <c r="Z59" s="35">
        <f>SUMIF($B$5:$B$53,$D59,Z$5:Z$53)</f>
        <v/>
      </c>
      <c r="AA59" s="9" t="n"/>
    </row>
    <row r="60" ht="15.75" customHeight="1" s="59">
      <c r="D60" s="13" t="n"/>
      <c r="E60" s="9" t="n"/>
      <c r="F60" s="9" t="n"/>
      <c r="G60" s="9" t="n"/>
      <c r="H60" s="9" t="n"/>
      <c r="I60" s="9" t="n"/>
      <c r="J60" s="9">
        <f>COUNTIFS($B$5:$B$53,$D60,$J$5:$J$53,"costed")</f>
        <v/>
      </c>
      <c r="K60" s="9" t="n"/>
      <c r="L60" s="9" t="n"/>
      <c r="M60" s="9" t="n"/>
      <c r="N60" s="9" t="n"/>
      <c r="O60" s="9" t="n"/>
      <c r="P60" s="9" t="n"/>
      <c r="Q60" s="32">
        <f>SUMIF($B$5:$B$53,$D60,Q$5:Q$53)</f>
        <v/>
      </c>
      <c r="R60" s="32">
        <f>SUMIF($B$5:$B$53,$D60,R$5:R$53)</f>
        <v/>
      </c>
      <c r="S60" s="33">
        <f>SUMIF($B$5:$B$53,$D60,S$5:S$53)</f>
        <v/>
      </c>
      <c r="T60" s="9" t="n"/>
      <c r="U60" s="9" t="n"/>
      <c r="V60" s="9" t="n"/>
      <c r="W60" s="9" t="n"/>
      <c r="X60" s="9" t="n"/>
      <c r="Y60" s="34">
        <f>SUMIF($B$5:$B$53,$D60,Y$5:Y$53)</f>
        <v/>
      </c>
      <c r="Z60" s="35">
        <f>SUMIF($B$5:$B$53,$D60,Z$5:Z$53)</f>
        <v/>
      </c>
      <c r="AA60" s="9" t="n"/>
    </row>
    <row r="61" ht="15.75" customHeight="1" s="59"/>
    <row r="62" ht="15.75" customHeight="1" s="59"/>
    <row r="63" ht="15.75" customHeight="1" s="59"/>
    <row r="64" ht="15.75" customHeight="1" s="59"/>
    <row r="65" ht="15.75" customHeight="1" s="59"/>
    <row r="66" ht="15.75" customHeight="1" s="59"/>
    <row r="67" ht="15.75" customHeight="1" s="59"/>
    <row r="68" ht="15.75" customHeight="1" s="59"/>
    <row r="69" ht="15.75" customHeight="1" s="59"/>
    <row r="70" ht="15.75" customHeight="1" s="59"/>
    <row r="71" ht="15.75" customHeight="1" s="59"/>
    <row r="72" ht="15.75" customHeight="1" s="59"/>
    <row r="73" ht="15.75" customHeight="1" s="59"/>
    <row r="74" ht="15.75" customHeight="1" s="59"/>
    <row r="75" ht="15.75" customHeight="1" s="59"/>
    <row r="76" ht="15.75" customHeight="1" s="59"/>
    <row r="77" ht="15.75" customHeight="1" s="59"/>
    <row r="78" ht="15.75" customHeight="1" s="59"/>
    <row r="79" ht="15.75" customHeight="1" s="59"/>
    <row r="80" ht="15.75" customHeight="1" s="59"/>
    <row r="81" ht="15.75" customHeight="1" s="59"/>
    <row r="82" ht="15.75" customHeight="1" s="59"/>
    <row r="83" ht="15.75" customHeight="1" s="59"/>
    <row r="84" ht="15.75" customHeight="1" s="59"/>
    <row r="85" ht="15.75" customHeight="1" s="59"/>
    <row r="86" ht="15.75" customHeight="1" s="59"/>
    <row r="87" ht="15.75" customHeight="1" s="59"/>
    <row r="88" ht="15.75" customHeight="1" s="59"/>
    <row r="89" ht="15.75" customHeight="1" s="59"/>
    <row r="90" ht="15.75" customHeight="1" s="59"/>
    <row r="91" ht="15.75" customHeight="1" s="59"/>
    <row r="92" ht="15.75" customHeight="1" s="59"/>
    <row r="93" ht="15.75" customHeight="1" s="59"/>
    <row r="94" ht="15.75" customHeight="1" s="59"/>
    <row r="95" ht="15.75" customHeight="1" s="59"/>
    <row r="96" ht="15.75" customHeight="1" s="59"/>
    <row r="97" ht="15.75" customHeight="1" s="59"/>
    <row r="98" ht="15.75" customHeight="1" s="59"/>
    <row r="99" ht="15.75" customHeight="1" s="59"/>
    <row r="100" ht="15.75" customHeight="1" s="59"/>
    <row r="101" ht="15.75" customHeight="1" s="59"/>
    <row r="102" ht="15.75" customHeight="1" s="59"/>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row r="175" ht="15.75" customHeight="1" s="59"/>
    <row r="176" ht="15.75" customHeight="1" s="59"/>
    <row r="177" ht="15.75" customHeight="1" s="59"/>
    <row r="178" ht="15.75" customHeight="1" s="59"/>
    <row r="179" ht="15.75" customHeight="1" s="59"/>
    <row r="180" ht="15.75" customHeight="1" s="59"/>
    <row r="181" ht="15.75" customHeight="1" s="59"/>
    <row r="182" ht="15.75" customHeight="1" s="59"/>
    <row r="183" ht="15.75" customHeight="1" s="59"/>
    <row r="184" ht="15.75" customHeight="1" s="59"/>
    <row r="185" ht="15.75" customHeight="1" s="59"/>
    <row r="186" ht="15.75" customHeight="1" s="59"/>
    <row r="187" ht="15.75" customHeight="1" s="59"/>
    <row r="188" ht="15.75" customHeight="1" s="59"/>
    <row r="189" ht="15.75" customHeight="1" s="59"/>
    <row r="190" ht="15.75" customHeight="1" s="59"/>
    <row r="191" ht="15.75" customHeight="1" s="59"/>
    <row r="192" ht="15.75" customHeight="1" s="59"/>
    <row r="193" ht="15.75" customHeight="1" s="59"/>
    <row r="194" ht="15.75" customHeight="1" s="59"/>
    <row r="195" ht="15.75" customHeight="1" s="59"/>
    <row r="196" ht="15.75" customHeight="1" s="59"/>
    <row r="197" ht="15.75" customHeight="1" s="59"/>
    <row r="198" ht="15.75" customHeight="1" s="59"/>
    <row r="199" ht="15.75" customHeight="1" s="59"/>
    <row r="200" ht="15.75" customHeight="1" s="59"/>
    <row r="201" ht="15.75" customHeight="1" s="59"/>
    <row r="202" ht="15.75" customHeight="1" s="59"/>
    <row r="203" ht="15.75" customHeight="1" s="59"/>
    <row r="204" ht="15.75" customHeight="1" s="59"/>
    <row r="205" ht="15.75" customHeight="1" s="59"/>
    <row r="206" ht="15.75" customHeight="1" s="59"/>
    <row r="207" ht="15.75" customHeight="1" s="59"/>
    <row r="208" ht="15.75" customHeight="1" s="59"/>
    <row r="209" ht="15.75" customHeight="1" s="59"/>
    <row r="210" ht="15.75" customHeight="1" s="59"/>
    <row r="211" ht="15.75" customHeight="1" s="59"/>
    <row r="212" ht="15.75" customHeight="1" s="59"/>
    <row r="213" ht="15.75" customHeight="1" s="59"/>
    <row r="214" ht="15.75" customHeight="1" s="59"/>
    <row r="215" ht="15.75" customHeight="1" s="59"/>
    <row r="216" ht="15.75" customHeight="1" s="59"/>
    <row r="217" ht="15.75" customHeight="1" s="59"/>
    <row r="218" ht="15.75" customHeight="1" s="59"/>
    <row r="219" ht="15.75" customHeight="1" s="59"/>
    <row r="220" ht="15.75" customHeight="1" s="59"/>
    <row r="221" ht="15.75" customHeight="1" s="59"/>
    <row r="222" ht="15.75" customHeight="1" s="59"/>
    <row r="223" ht="15.75" customHeight="1" s="59"/>
    <row r="224" ht="15.75" customHeight="1" s="59"/>
    <row r="225" ht="15.75" customHeight="1" s="59"/>
    <row r="226" ht="15.75" customHeight="1" s="59"/>
    <row r="227" ht="15.75" customHeight="1" s="59"/>
    <row r="228" ht="15.75" customHeight="1" s="59"/>
    <row r="229" ht="15.75" customHeight="1" s="59"/>
    <row r="230" ht="15.75" customHeight="1" s="59"/>
    <row r="231" ht="15.75" customHeight="1" s="59"/>
    <row r="232" ht="15.75" customHeight="1" s="59"/>
    <row r="233" ht="15.75" customHeight="1" s="59"/>
    <row r="234" ht="15.75" customHeight="1" s="59"/>
    <row r="235" ht="15.75" customHeight="1" s="59"/>
    <row r="236" ht="15.75" customHeight="1" s="59"/>
    <row r="237" ht="15.75" customHeight="1" s="59"/>
    <row r="238" ht="15.75" customHeight="1" s="59"/>
    <row r="239" ht="15.75" customHeight="1" s="59"/>
    <row r="240" ht="15.75" customHeight="1" s="59"/>
    <row r="241" ht="15.75" customHeight="1" s="59"/>
    <row r="242" ht="15.75" customHeight="1" s="59"/>
    <row r="243" ht="15.75" customHeight="1" s="59"/>
    <row r="244" ht="15.75" customHeight="1" s="59"/>
    <row r="245" ht="15.75" customHeight="1" s="59"/>
    <row r="246" ht="15.75" customHeight="1" s="59"/>
    <row r="247" ht="15.75" customHeight="1" s="59"/>
    <row r="248" ht="15.75" customHeight="1" s="59"/>
    <row r="249" ht="15.75" customHeight="1" s="59"/>
    <row r="250" ht="15.75" customHeight="1" s="59"/>
    <row r="251" ht="15.75" customHeight="1" s="59"/>
    <row r="252" ht="15.75" customHeight="1" s="59"/>
    <row r="253" ht="15.75" customHeight="1" s="59"/>
    <row r="254" ht="15.75" customHeight="1" s="59"/>
    <row r="255" ht="15.75" customHeight="1" s="59"/>
    <row r="256" ht="15.75" customHeight="1" s="59"/>
    <row r="257" ht="15.75" customHeight="1" s="59"/>
    <row r="258" ht="15.75" customHeight="1" s="59"/>
    <row r="259" ht="15.75" customHeight="1" s="59"/>
    <row r="260" ht="15.75" customHeight="1" s="59"/>
    <row r="261" ht="15.75" customHeight="1" s="59"/>
    <row r="262" ht="15.75" customHeight="1" s="59"/>
    <row r="263" ht="15.75" customHeight="1" s="59"/>
    <row r="264" ht="15.75" customHeight="1" s="59"/>
    <row r="265" ht="15.75" customHeight="1" s="59"/>
    <row r="266" ht="15.75" customHeight="1" s="59"/>
    <row r="267" ht="15.75" customHeight="1" s="59"/>
    <row r="268" ht="15.75" customHeight="1" s="59"/>
    <row r="269" ht="15.75" customHeight="1" s="59"/>
    <row r="270" ht="15.75" customHeight="1" s="59"/>
    <row r="271" ht="15.75" customHeight="1" s="59"/>
    <row r="272" ht="15.75" customHeight="1" s="59"/>
    <row r="273" ht="15.75" customHeight="1" s="59"/>
    <row r="274" ht="15.75" customHeight="1" s="59"/>
    <row r="275" ht="15.75" customHeight="1" s="59"/>
    <row r="276" ht="15.75" customHeight="1" s="59"/>
    <row r="277" ht="15.75" customHeight="1" s="59"/>
    <row r="278" ht="15.75" customHeight="1" s="59"/>
    <row r="279" ht="15.75" customHeight="1" s="59"/>
    <row r="280" ht="15.75" customHeight="1" s="59"/>
    <row r="281" ht="15.75" customHeight="1" s="59"/>
    <row r="282" ht="15.75" customHeight="1" s="59"/>
    <row r="283" ht="15.75" customHeight="1" s="59"/>
    <row r="284" ht="15.75" customHeight="1" s="59"/>
    <row r="285" ht="15.75" customHeight="1" s="59"/>
    <row r="286" ht="15.75" customHeight="1" s="59"/>
    <row r="287" ht="15.75" customHeight="1" s="59"/>
    <row r="288" ht="15.75" customHeight="1" s="59"/>
    <row r="289" ht="15.75" customHeight="1" s="59"/>
    <row r="290" ht="15.75" customHeight="1" s="59"/>
    <row r="291" ht="15.75" customHeight="1" s="59"/>
    <row r="292" ht="15.75" customHeight="1" s="59"/>
    <row r="293" ht="15.75" customHeight="1" s="59"/>
    <row r="294" ht="15.75" customHeight="1" s="59"/>
    <row r="295" ht="15.75" customHeight="1" s="59"/>
    <row r="296" ht="15.75" customHeight="1" s="59"/>
    <row r="297" ht="15.75" customHeight="1" s="59"/>
    <row r="298" ht="15.75" customHeight="1" s="59"/>
    <row r="299" ht="15.75" customHeight="1" s="59"/>
    <row r="300" ht="15.75" customHeight="1" s="59"/>
    <row r="301" ht="15.75" customHeight="1" s="59"/>
    <row r="302" ht="15.75" customHeight="1" s="59"/>
    <row r="303" ht="15.75" customHeight="1" s="59"/>
    <row r="304" ht="15.75" customHeight="1" s="59"/>
    <row r="305" ht="15.75" customHeight="1" s="59"/>
    <row r="306" ht="15.75" customHeight="1" s="59"/>
    <row r="307" ht="15.75" customHeight="1" s="59"/>
    <row r="308" ht="15.75" customHeight="1" s="59"/>
    <row r="309" ht="15.75" customHeight="1" s="59"/>
    <row r="310" ht="15.75" customHeight="1" s="59"/>
    <row r="311" ht="15.75" customHeight="1" s="59"/>
    <row r="312" ht="15.75" customHeight="1" s="59"/>
    <row r="313" ht="15.75" customHeight="1" s="59"/>
    <row r="314" ht="15.75" customHeight="1" s="59"/>
    <row r="315" ht="15.75" customHeight="1" s="59"/>
    <row r="316" ht="15.75" customHeight="1" s="59"/>
    <row r="317" ht="15.75" customHeight="1" s="59"/>
    <row r="318" ht="15.75" customHeight="1" s="59"/>
    <row r="319" ht="15.75" customHeight="1" s="59"/>
    <row r="320" ht="15.75" customHeight="1" s="59"/>
    <row r="321" ht="15.75" customHeight="1" s="59"/>
    <row r="322" ht="15.75" customHeight="1" s="59"/>
    <row r="323" ht="15.75" customHeight="1" s="59"/>
    <row r="324" ht="15.75" customHeight="1" s="59"/>
    <row r="325" ht="15.75" customHeight="1" s="59"/>
    <row r="326" ht="15.75" customHeight="1" s="59"/>
    <row r="327" ht="15.75" customHeight="1" s="59"/>
    <row r="328" ht="15.75" customHeight="1" s="59"/>
    <row r="329" ht="15.75" customHeight="1" s="59"/>
    <row r="330" ht="15.75" customHeight="1" s="59"/>
    <row r="331" ht="15.75" customHeight="1" s="59"/>
    <row r="332" ht="15.75" customHeight="1" s="59"/>
    <row r="333" ht="15.75" customHeight="1" s="59"/>
    <row r="334" ht="15.75" customHeight="1" s="59"/>
    <row r="335" ht="15.75" customHeight="1" s="59"/>
    <row r="336" ht="15.75" customHeight="1" s="59"/>
    <row r="337" ht="15.75" customHeight="1" s="59"/>
    <row r="338" ht="15.75" customHeight="1" s="59"/>
    <row r="339" ht="15.75" customHeight="1" s="59"/>
    <row r="340" ht="15.75" customHeight="1" s="59"/>
    <row r="341" ht="15.75" customHeight="1" s="59"/>
    <row r="342" ht="15.75" customHeight="1" s="59"/>
    <row r="343" ht="15.75" customHeight="1" s="59"/>
    <row r="344" ht="15.75" customHeight="1" s="59"/>
    <row r="345" ht="15.75" customHeight="1" s="59"/>
    <row r="346" ht="15.75" customHeight="1" s="59"/>
    <row r="347" ht="15.75" customHeight="1" s="59"/>
    <row r="348" ht="15.75" customHeight="1" s="59"/>
    <row r="349" ht="15.75" customHeight="1" s="59"/>
    <row r="350" ht="15.75" customHeight="1" s="59"/>
    <row r="351" ht="15.75" customHeight="1" s="59"/>
    <row r="352" ht="15.75" customHeight="1" s="59"/>
    <row r="353" ht="15.75" customHeight="1" s="59"/>
    <row r="354" ht="15.75" customHeight="1" s="59"/>
    <row r="355" ht="15.75" customHeight="1" s="59"/>
    <row r="356" ht="15.75" customHeight="1" s="59"/>
    <row r="357" ht="15.75" customHeight="1" s="59"/>
    <row r="358" ht="15.75" customHeight="1" s="59"/>
    <row r="359" ht="15.75" customHeight="1" s="59"/>
    <row r="360" ht="15.75" customHeight="1" s="59"/>
    <row r="361" ht="15.75" customHeight="1" s="59"/>
    <row r="362" ht="15.75" customHeight="1" s="59"/>
    <row r="363" ht="15.75" customHeight="1" s="59"/>
    <row r="364" ht="15.75" customHeight="1" s="59"/>
    <row r="365" ht="15.75" customHeight="1" s="59"/>
    <row r="366" ht="15.75" customHeight="1" s="59"/>
    <row r="367" ht="15.75" customHeight="1" s="59"/>
    <row r="368" ht="15.75" customHeight="1" s="59"/>
    <row r="369" ht="15.75" customHeight="1" s="59"/>
    <row r="370" ht="15.75" customHeight="1" s="59"/>
    <row r="371" ht="15.75" customHeight="1" s="59"/>
    <row r="372" ht="15.75" customHeight="1" s="59"/>
    <row r="373" ht="15.75" customHeight="1" s="59"/>
    <row r="374" ht="15.75" customHeight="1" s="59"/>
    <row r="375" ht="15.75" customHeight="1" s="59"/>
    <row r="376" ht="15.75" customHeight="1" s="59"/>
    <row r="377" ht="15.75" customHeight="1" s="59"/>
    <row r="378" ht="15.75" customHeight="1" s="59"/>
    <row r="379" ht="15.75" customHeight="1" s="59"/>
    <row r="380" ht="15.75" customHeight="1" s="59"/>
    <row r="381" ht="15.75" customHeight="1" s="59"/>
    <row r="382" ht="15.75" customHeight="1" s="59"/>
    <row r="383" ht="15.75" customHeight="1" s="59"/>
    <row r="384" ht="15.75" customHeight="1" s="59"/>
    <row r="385" ht="15.75" customHeight="1" s="59"/>
    <row r="386" ht="15.75" customHeight="1" s="59"/>
    <row r="387" ht="15.75" customHeight="1" s="59"/>
    <row r="388" ht="15.75" customHeight="1" s="59"/>
    <row r="389" ht="15.75" customHeight="1" s="59"/>
    <row r="390" ht="15.75" customHeight="1" s="59"/>
    <row r="391" ht="15.75" customHeight="1" s="59"/>
    <row r="392" ht="15.75" customHeight="1" s="59"/>
    <row r="393" ht="15.75" customHeight="1" s="59"/>
    <row r="394" ht="15.75" customHeight="1" s="59"/>
    <row r="395" ht="15.75" customHeight="1" s="59"/>
    <row r="396" ht="15.75" customHeight="1" s="59"/>
    <row r="397" ht="15.75" customHeight="1" s="59"/>
    <row r="398" ht="15.75" customHeight="1" s="59"/>
    <row r="399" ht="15.75" customHeight="1" s="59"/>
    <row r="400" ht="15.75" customHeight="1" s="59"/>
    <row r="401" ht="15.75" customHeight="1" s="59"/>
    <row r="402" ht="15.75" customHeight="1" s="59"/>
    <row r="403" ht="15.75" customHeight="1" s="59"/>
    <row r="404" ht="15.75" customHeight="1" s="59"/>
    <row r="405" ht="15.75" customHeight="1" s="59"/>
    <row r="406" ht="15.75" customHeight="1" s="59"/>
    <row r="407" ht="15.75" customHeight="1" s="59"/>
    <row r="408" ht="15.75" customHeight="1" s="59"/>
    <row r="409" ht="15.75" customHeight="1" s="59"/>
    <row r="410" ht="15.75" customHeight="1" s="59"/>
    <row r="411" ht="15.75" customHeight="1" s="59"/>
    <row r="412" ht="15.75" customHeight="1" s="59"/>
    <row r="413" ht="15.75" customHeight="1" s="59"/>
    <row r="414" ht="15.75" customHeight="1" s="59"/>
    <row r="415" ht="15.75" customHeight="1" s="59"/>
    <row r="416" ht="15.75" customHeight="1" s="59"/>
    <row r="417" ht="15.75" customHeight="1" s="59"/>
    <row r="418" ht="15.75" customHeight="1" s="59"/>
    <row r="419" ht="15.75" customHeight="1" s="59"/>
    <row r="420" ht="15.75" customHeight="1" s="59"/>
    <row r="421" ht="15.75" customHeight="1" s="59"/>
    <row r="422" ht="15.75" customHeight="1" s="59"/>
    <row r="423" ht="15.75" customHeight="1" s="59"/>
    <row r="424" ht="15.75" customHeight="1" s="59"/>
    <row r="425" ht="15.75" customHeight="1" s="59"/>
    <row r="426" ht="15.75" customHeight="1" s="59"/>
    <row r="427" ht="15.75" customHeight="1" s="59"/>
    <row r="428" ht="15.75" customHeight="1" s="59"/>
    <row r="429" ht="15.75" customHeight="1" s="59"/>
    <row r="430" ht="15.75" customHeight="1" s="59"/>
    <row r="431" ht="15.75" customHeight="1" s="59"/>
    <row r="432" ht="15.75" customHeight="1" s="59"/>
    <row r="433" ht="15.75" customHeight="1" s="59"/>
    <row r="434" ht="15.75" customHeight="1" s="59"/>
    <row r="435" ht="15.75" customHeight="1" s="59"/>
    <row r="436" ht="15.75" customHeight="1" s="59"/>
    <row r="437" ht="15.75" customHeight="1" s="59"/>
    <row r="438" ht="15.75" customHeight="1" s="59"/>
    <row r="439" ht="15.75" customHeight="1" s="59"/>
    <row r="440" ht="15.75" customHeight="1" s="59"/>
    <row r="441" ht="15.75" customHeight="1" s="59"/>
    <row r="442" ht="15.75" customHeight="1" s="59"/>
    <row r="443" ht="15.75" customHeight="1" s="59"/>
    <row r="444" ht="15.75" customHeight="1" s="59"/>
    <row r="445" ht="15.75" customHeight="1" s="59"/>
    <row r="446" ht="15.75" customHeight="1" s="59"/>
    <row r="447" ht="15.75" customHeight="1" s="59"/>
    <row r="448" ht="15.75" customHeight="1" s="59"/>
    <row r="449" ht="15.75" customHeight="1" s="59"/>
    <row r="450" ht="15.75" customHeight="1" s="59"/>
    <row r="451" ht="15.75" customHeight="1" s="59"/>
    <row r="452" ht="15.75" customHeight="1" s="59"/>
    <row r="453" ht="15.75" customHeight="1" s="59"/>
    <row r="454" ht="15.75" customHeight="1" s="59"/>
    <row r="455" ht="15.75" customHeight="1" s="59"/>
    <row r="456" ht="15.75" customHeight="1" s="59"/>
    <row r="457" ht="15.75" customHeight="1" s="59"/>
    <row r="458" ht="15.75" customHeight="1" s="59"/>
    <row r="459" ht="15.75" customHeight="1" s="59"/>
    <row r="460" ht="15.75" customHeight="1" s="59"/>
    <row r="461" ht="15.75" customHeight="1" s="59"/>
    <row r="462" ht="15.75" customHeight="1" s="59"/>
    <row r="463" ht="15.75" customHeight="1" s="59"/>
    <row r="464" ht="15.75" customHeight="1" s="59"/>
    <row r="465" ht="15.75" customHeight="1" s="59"/>
    <row r="466" ht="15.75" customHeight="1" s="59"/>
    <row r="467" ht="15.75" customHeight="1" s="59"/>
    <row r="468" ht="15.75" customHeight="1" s="59"/>
    <row r="469" ht="15.75" customHeight="1" s="59"/>
    <row r="470" ht="15.75" customHeight="1" s="59"/>
    <row r="471" ht="15.75" customHeight="1" s="59"/>
    <row r="472" ht="15.75" customHeight="1" s="59"/>
    <row r="473" ht="15.75" customHeight="1" s="59"/>
    <row r="474" ht="15.75" customHeight="1" s="59"/>
    <row r="475" ht="15.75" customHeight="1" s="59"/>
    <row r="476" ht="15.75" customHeight="1" s="59"/>
    <row r="477" ht="15.75" customHeight="1" s="59"/>
    <row r="478" ht="15.75" customHeight="1" s="59"/>
    <row r="479" ht="15.75" customHeight="1" s="59"/>
    <row r="480" ht="15.75" customHeight="1" s="59"/>
    <row r="481" ht="15.75" customHeight="1" s="59"/>
    <row r="482" ht="15.75" customHeight="1" s="59"/>
    <row r="483" ht="15.75" customHeight="1" s="59"/>
    <row r="484" ht="15.75" customHeight="1" s="59"/>
    <row r="485" ht="15.75" customHeight="1" s="59"/>
    <row r="486" ht="15.75" customHeight="1" s="59"/>
    <row r="487" ht="15.75" customHeight="1" s="59"/>
    <row r="488" ht="15.75" customHeight="1" s="59"/>
    <row r="489" ht="15.75" customHeight="1" s="59"/>
    <row r="490" ht="15.75" customHeight="1" s="59"/>
    <row r="491" ht="15.75" customHeight="1" s="59"/>
    <row r="492" ht="15.75" customHeight="1" s="59"/>
    <row r="493" ht="15.75" customHeight="1" s="59"/>
    <row r="494" ht="15.75" customHeight="1" s="59"/>
    <row r="495" ht="15.75" customHeight="1" s="59"/>
    <row r="496" ht="15.75" customHeight="1" s="59"/>
    <row r="497" ht="15.75" customHeight="1" s="59"/>
    <row r="498" ht="15.75" customHeight="1" s="59"/>
    <row r="499" ht="15.75" customHeight="1" s="59"/>
    <row r="500" ht="15.75" customHeight="1" s="59"/>
    <row r="501" ht="15.75" customHeight="1" s="59"/>
    <row r="502" ht="15.75" customHeight="1" s="59"/>
    <row r="503" ht="15.75" customHeight="1" s="59"/>
    <row r="504" ht="15.75" customHeight="1" s="59"/>
    <row r="505" ht="15.75" customHeight="1" s="59"/>
    <row r="506" ht="15.75" customHeight="1" s="59"/>
    <row r="507" ht="15.75" customHeight="1" s="59"/>
    <row r="508" ht="15.75" customHeight="1" s="59"/>
    <row r="509" ht="15.75" customHeight="1" s="59"/>
    <row r="510" ht="15.75" customHeight="1" s="59"/>
    <row r="511" ht="15.75" customHeight="1" s="59"/>
    <row r="512" ht="15.75" customHeight="1" s="59"/>
    <row r="513" ht="15.75" customHeight="1" s="59"/>
    <row r="514" ht="15.75" customHeight="1" s="59"/>
    <row r="515" ht="15.75" customHeight="1" s="59"/>
    <row r="516" ht="15.75" customHeight="1" s="59"/>
    <row r="517" ht="15.75" customHeight="1" s="59"/>
    <row r="518" ht="15.75" customHeight="1" s="59"/>
    <row r="519" ht="15.75" customHeight="1" s="59"/>
    <row r="520" ht="15.75" customHeight="1" s="59"/>
    <row r="521" ht="15.75" customHeight="1" s="59"/>
    <row r="522" ht="15.75" customHeight="1" s="59"/>
    <row r="523" ht="15.75" customHeight="1" s="59"/>
    <row r="524" ht="15.75" customHeight="1" s="59"/>
    <row r="525" ht="15.75" customHeight="1" s="59"/>
    <row r="526" ht="15.75" customHeight="1" s="59"/>
    <row r="527" ht="15.75" customHeight="1" s="59"/>
    <row r="528" ht="15.75" customHeight="1" s="59"/>
    <row r="529" ht="15.75" customHeight="1" s="59"/>
    <row r="530" ht="15.75" customHeight="1" s="59"/>
    <row r="531" ht="15.75" customHeight="1" s="59"/>
    <row r="532" ht="15.75" customHeight="1" s="59"/>
    <row r="533" ht="15.75" customHeight="1" s="59"/>
    <row r="534" ht="15.75" customHeight="1" s="59"/>
    <row r="535" ht="15.75" customHeight="1" s="59"/>
    <row r="536" ht="15.75" customHeight="1" s="59"/>
    <row r="537" ht="15.75" customHeight="1" s="59"/>
    <row r="538" ht="15.75" customHeight="1" s="59"/>
    <row r="539" ht="15.75" customHeight="1" s="59"/>
    <row r="540" ht="15.75" customHeight="1" s="59"/>
    <row r="541" ht="15.75" customHeight="1" s="59"/>
    <row r="542" ht="15.75" customHeight="1" s="59"/>
    <row r="543" ht="15.75" customHeight="1" s="59"/>
    <row r="544" ht="15.75" customHeight="1" s="59"/>
    <row r="545" ht="15.75" customHeight="1" s="59"/>
    <row r="546" ht="15.75" customHeight="1" s="59"/>
    <row r="547" ht="15.75" customHeight="1" s="59"/>
    <row r="548" ht="15.75" customHeight="1" s="59"/>
    <row r="549" ht="15.75" customHeight="1" s="59"/>
    <row r="550" ht="15.75" customHeight="1" s="59"/>
    <row r="551" ht="15.75" customHeight="1" s="59"/>
    <row r="552" ht="15.75" customHeight="1" s="59"/>
    <row r="553" ht="15.75" customHeight="1" s="59"/>
    <row r="554" ht="15.75" customHeight="1" s="59"/>
    <row r="555" ht="15.75" customHeight="1" s="59"/>
    <row r="556" ht="15.75" customHeight="1" s="59"/>
    <row r="557" ht="15.75" customHeight="1" s="59"/>
    <row r="558" ht="15.75" customHeight="1" s="59"/>
    <row r="559" ht="15.75" customHeight="1" s="59"/>
    <row r="560" ht="15.75" customHeight="1" s="59"/>
    <row r="561" ht="15.75" customHeight="1" s="59"/>
    <row r="562" ht="15.75" customHeight="1" s="59"/>
    <row r="563" ht="15.75" customHeight="1" s="59"/>
    <row r="564" ht="15.75" customHeight="1" s="59"/>
    <row r="565" ht="15.75" customHeight="1" s="59"/>
    <row r="566" ht="15.75" customHeight="1" s="59"/>
    <row r="567" ht="15.75" customHeight="1" s="59"/>
    <row r="568" ht="15.75" customHeight="1" s="59"/>
    <row r="569" ht="15.75" customHeight="1" s="59"/>
    <row r="570" ht="15.75" customHeight="1" s="59"/>
    <row r="571" ht="15.75" customHeight="1" s="59"/>
    <row r="572" ht="15.75" customHeight="1" s="59"/>
    <row r="573" ht="15.75" customHeight="1" s="59"/>
    <row r="574" ht="15.75" customHeight="1" s="59"/>
    <row r="575" ht="15.75" customHeight="1" s="59"/>
    <row r="576" ht="15.75" customHeight="1" s="59"/>
    <row r="577" ht="15.75" customHeight="1" s="59"/>
    <row r="578" ht="15.75" customHeight="1" s="59"/>
    <row r="579" ht="15.75" customHeight="1" s="59"/>
    <row r="580" ht="15.75" customHeight="1" s="59"/>
    <row r="581" ht="15.75" customHeight="1" s="59"/>
    <row r="582" ht="15.75" customHeight="1" s="59"/>
    <row r="583" ht="15.75" customHeight="1" s="59"/>
    <row r="584" ht="15.75" customHeight="1" s="59"/>
    <row r="585" ht="15.75" customHeight="1" s="59"/>
    <row r="586" ht="15.75" customHeight="1" s="59"/>
    <row r="587" ht="15.75" customHeight="1" s="59"/>
    <row r="588" ht="15.75" customHeight="1" s="59"/>
    <row r="589" ht="15.75" customHeight="1" s="59"/>
    <row r="590" ht="15.75" customHeight="1" s="59"/>
    <row r="591" ht="15.75" customHeight="1" s="59"/>
    <row r="592" ht="15.75" customHeight="1" s="59"/>
    <row r="593" ht="15.75" customHeight="1" s="59"/>
    <row r="594" ht="15.75" customHeight="1" s="59"/>
    <row r="595" ht="15.75" customHeight="1" s="59"/>
    <row r="596" ht="15.75" customHeight="1" s="59"/>
    <row r="597" ht="15.75" customHeight="1" s="59"/>
    <row r="598" ht="15.75" customHeight="1" s="59"/>
    <row r="599" ht="15.75" customHeight="1" s="59"/>
    <row r="600" ht="15.75" customHeight="1" s="59"/>
    <row r="601" ht="15.75" customHeight="1" s="59"/>
    <row r="602" ht="15.75" customHeight="1" s="59"/>
    <row r="603" ht="15.75" customHeight="1" s="59"/>
    <row r="604" ht="15.75" customHeight="1" s="59"/>
    <row r="605" ht="15.75" customHeight="1" s="59"/>
    <row r="606" ht="15.75" customHeight="1" s="59"/>
    <row r="607" ht="15.75" customHeight="1" s="59"/>
    <row r="608" ht="15.75" customHeight="1" s="59"/>
    <row r="609" ht="15.75" customHeight="1" s="59"/>
    <row r="610" ht="15.75" customHeight="1" s="59"/>
    <row r="611" ht="15.75" customHeight="1" s="59"/>
    <row r="612" ht="15.75" customHeight="1" s="59"/>
    <row r="613" ht="15.75" customHeight="1" s="59"/>
    <row r="614" ht="15.75" customHeight="1" s="59"/>
    <row r="615" ht="15.75" customHeight="1" s="59"/>
    <row r="616" ht="15.75" customHeight="1" s="59"/>
    <row r="617" ht="15.75" customHeight="1" s="59"/>
    <row r="618" ht="15.75" customHeight="1" s="59"/>
    <row r="619" ht="15.75" customHeight="1" s="59"/>
    <row r="620" ht="15.75" customHeight="1" s="59"/>
    <row r="621" ht="15.75" customHeight="1" s="59"/>
    <row r="622" ht="15.75" customHeight="1" s="59"/>
    <row r="623" ht="15.75" customHeight="1" s="59"/>
    <row r="624" ht="15.75" customHeight="1" s="59"/>
    <row r="625" ht="15.75" customHeight="1" s="59"/>
    <row r="626" ht="15.75" customHeight="1" s="59"/>
    <row r="627" ht="15.75" customHeight="1" s="59"/>
    <row r="628" ht="15.75" customHeight="1" s="59"/>
    <row r="629" ht="15.75" customHeight="1" s="59"/>
    <row r="630" ht="15.75" customHeight="1" s="59"/>
    <row r="631" ht="15.75" customHeight="1" s="59"/>
    <row r="632" ht="15.75" customHeight="1" s="59"/>
    <row r="633" ht="15.75" customHeight="1" s="59"/>
    <row r="634" ht="15.75" customHeight="1" s="59"/>
    <row r="635" ht="15.75" customHeight="1" s="59"/>
    <row r="636" ht="15.75" customHeight="1" s="59"/>
    <row r="637" ht="15.75" customHeight="1" s="59"/>
    <row r="638" ht="15.75" customHeight="1" s="59"/>
    <row r="639" ht="15.75" customHeight="1" s="59"/>
    <row r="640" ht="15.75" customHeight="1" s="59"/>
    <row r="641" ht="15.75" customHeight="1" s="59"/>
    <row r="642" ht="15.75" customHeight="1" s="59"/>
    <row r="643" ht="15.75" customHeight="1" s="59"/>
    <row r="644" ht="15.75" customHeight="1" s="59"/>
    <row r="645" ht="15.75" customHeight="1" s="59"/>
    <row r="646" ht="15.75" customHeight="1" s="59"/>
    <row r="647" ht="15.75" customHeight="1" s="59"/>
    <row r="648" ht="15.75" customHeight="1" s="59"/>
    <row r="649" ht="15.75" customHeight="1" s="59"/>
    <row r="650" ht="15.75" customHeight="1" s="59"/>
    <row r="651" ht="15.75" customHeight="1" s="59"/>
    <row r="652" ht="15.75" customHeight="1" s="59"/>
    <row r="653" ht="15.75" customHeight="1" s="59"/>
    <row r="654" ht="15.75" customHeight="1" s="59"/>
    <row r="655" ht="15.75" customHeight="1" s="59"/>
    <row r="656" ht="15.75" customHeight="1" s="59"/>
    <row r="657" ht="15.75" customHeight="1" s="59"/>
    <row r="658" ht="15.75" customHeight="1" s="59"/>
    <row r="659" ht="15.75" customHeight="1" s="59"/>
    <row r="660" ht="15.75" customHeight="1" s="59"/>
    <row r="661" ht="15.75" customHeight="1" s="59"/>
    <row r="662" ht="15.75" customHeight="1" s="59"/>
    <row r="663" ht="15.75" customHeight="1" s="59"/>
    <row r="664" ht="15.75" customHeight="1" s="59"/>
    <row r="665" ht="15.75" customHeight="1" s="59"/>
    <row r="666" ht="15.75" customHeight="1" s="59"/>
    <row r="667" ht="15.75" customHeight="1" s="59"/>
    <row r="668" ht="15.75" customHeight="1" s="59"/>
    <row r="669" ht="15.75" customHeight="1" s="59"/>
    <row r="670" ht="15.75" customHeight="1" s="59"/>
    <row r="671" ht="15.75" customHeight="1" s="59"/>
    <row r="672" ht="15.75" customHeight="1" s="59"/>
    <row r="673" ht="15.75" customHeight="1" s="59"/>
    <row r="674" ht="15.75" customHeight="1" s="59"/>
    <row r="675" ht="15.75" customHeight="1" s="59"/>
    <row r="676" ht="15.75" customHeight="1" s="59"/>
    <row r="677" ht="15.75" customHeight="1" s="59"/>
    <row r="678" ht="15.75" customHeight="1" s="59"/>
    <row r="679" ht="15.75" customHeight="1" s="59"/>
    <row r="680" ht="15.75" customHeight="1" s="59"/>
    <row r="681" ht="15.75" customHeight="1" s="59"/>
    <row r="682" ht="15.75" customHeight="1" s="59"/>
    <row r="683" ht="15.75" customHeight="1" s="59"/>
    <row r="684" ht="15.75" customHeight="1" s="59"/>
    <row r="685" ht="15.75" customHeight="1" s="59"/>
    <row r="686" ht="15.75" customHeight="1" s="59"/>
    <row r="687" ht="15.75" customHeight="1" s="59"/>
    <row r="688" ht="15.75" customHeight="1" s="59"/>
    <row r="689" ht="15.75" customHeight="1" s="59"/>
    <row r="690" ht="15.75" customHeight="1" s="59"/>
    <row r="691" ht="15.75" customHeight="1" s="59"/>
    <row r="692" ht="15.75" customHeight="1" s="59"/>
    <row r="693" ht="15.75" customHeight="1" s="59"/>
    <row r="694" ht="15.75" customHeight="1" s="59"/>
    <row r="695" ht="15.75" customHeight="1" s="59"/>
    <row r="696" ht="15.75" customHeight="1" s="59"/>
    <row r="697" ht="15.75" customHeight="1" s="59"/>
    <row r="698" ht="15.75" customHeight="1" s="59"/>
    <row r="699" ht="15.75" customHeight="1" s="59"/>
    <row r="700" ht="15.75" customHeight="1" s="59"/>
    <row r="701" ht="15.75" customHeight="1" s="59"/>
    <row r="702" ht="15.75" customHeight="1" s="59"/>
    <row r="703" ht="15.75" customHeight="1" s="59"/>
    <row r="704" ht="15.75" customHeight="1" s="59"/>
    <row r="705" ht="15.75" customHeight="1" s="59"/>
    <row r="706" ht="15.75" customHeight="1" s="59"/>
    <row r="707" ht="15.75" customHeight="1" s="59"/>
    <row r="708" ht="15.75" customHeight="1" s="59"/>
    <row r="709" ht="15.75" customHeight="1" s="59"/>
    <row r="710" ht="15.75" customHeight="1" s="59"/>
    <row r="711" ht="15.75" customHeight="1" s="59"/>
    <row r="712" ht="15.75" customHeight="1" s="59"/>
    <row r="713" ht="15.75" customHeight="1" s="59"/>
    <row r="714" ht="15.75" customHeight="1" s="59"/>
    <row r="715" ht="15.75" customHeight="1" s="59"/>
    <row r="716" ht="15.75" customHeight="1" s="59"/>
    <row r="717" ht="15.75" customHeight="1" s="59"/>
    <row r="718" ht="15.75" customHeight="1" s="59"/>
    <row r="719" ht="15.75" customHeight="1" s="59"/>
    <row r="720" ht="15.75" customHeight="1" s="59"/>
    <row r="721" ht="15.75" customHeight="1" s="59"/>
    <row r="722" ht="15.75" customHeight="1" s="59"/>
    <row r="723" ht="15.75" customHeight="1" s="59"/>
    <row r="724" ht="15.75" customHeight="1" s="59"/>
    <row r="725" ht="15.75" customHeight="1" s="59"/>
    <row r="726" ht="15.75" customHeight="1" s="59"/>
    <row r="727" ht="15.75" customHeight="1" s="59"/>
    <row r="728" ht="15.75" customHeight="1" s="59"/>
    <row r="729" ht="15.75" customHeight="1" s="59"/>
    <row r="730" ht="15.75" customHeight="1" s="59"/>
    <row r="731" ht="15.75" customHeight="1" s="59"/>
    <row r="732" ht="15.75" customHeight="1" s="59"/>
    <row r="733" ht="15.75" customHeight="1" s="59"/>
    <row r="734" ht="15.75" customHeight="1" s="59"/>
    <row r="735" ht="15.75" customHeight="1" s="59"/>
    <row r="736" ht="15.75" customHeight="1" s="59"/>
    <row r="737" ht="15.75" customHeight="1" s="59"/>
    <row r="738" ht="15.75" customHeight="1" s="59"/>
    <row r="739" ht="15.75" customHeight="1" s="59"/>
    <row r="740" ht="15.75" customHeight="1" s="59"/>
    <row r="741" ht="15.75" customHeight="1" s="59"/>
    <row r="742" ht="15.75" customHeight="1" s="59"/>
    <row r="743" ht="15.75" customHeight="1" s="59"/>
    <row r="744" ht="15.75" customHeight="1" s="59"/>
    <row r="745" ht="15.75" customHeight="1" s="59"/>
    <row r="746" ht="15.75" customHeight="1" s="59"/>
    <row r="747" ht="15.75" customHeight="1" s="59"/>
    <row r="748" ht="15.75" customHeight="1" s="59"/>
    <row r="749" ht="15.75" customHeight="1" s="59"/>
    <row r="750" ht="15.75" customHeight="1" s="59"/>
    <row r="751" ht="15.75" customHeight="1" s="59"/>
    <row r="752" ht="15.75" customHeight="1" s="59"/>
    <row r="753" ht="15.75" customHeight="1" s="59"/>
    <row r="754" ht="15.75" customHeight="1" s="59"/>
    <row r="755" ht="15.75" customHeight="1" s="59"/>
    <row r="756" ht="15.75" customHeight="1" s="59"/>
    <row r="757" ht="15.75" customHeight="1" s="59"/>
    <row r="758" ht="15.75" customHeight="1" s="59"/>
    <row r="759" ht="15.75" customHeight="1" s="59"/>
    <row r="760" ht="15.75" customHeight="1" s="59"/>
    <row r="761" ht="15.75" customHeight="1" s="59"/>
    <row r="762" ht="15.75" customHeight="1" s="59"/>
    <row r="763" ht="15.75" customHeight="1" s="59"/>
    <row r="764" ht="15.75" customHeight="1" s="59"/>
    <row r="765" ht="15.75" customHeight="1" s="59"/>
    <row r="766" ht="15.75" customHeight="1" s="59"/>
    <row r="767" ht="15.75" customHeight="1" s="59"/>
    <row r="768" ht="15.75" customHeight="1" s="59"/>
    <row r="769" ht="15.75" customHeight="1" s="59"/>
    <row r="770" ht="15.75" customHeight="1" s="59"/>
    <row r="771" ht="15.75" customHeight="1" s="59"/>
    <row r="772" ht="15.75" customHeight="1" s="59"/>
    <row r="773" ht="15.75" customHeight="1" s="59"/>
    <row r="774" ht="15.75" customHeight="1" s="59"/>
    <row r="775" ht="15.75" customHeight="1" s="59"/>
    <row r="776" ht="15.75" customHeight="1" s="59"/>
    <row r="777" ht="15.75" customHeight="1" s="59"/>
    <row r="778" ht="15.75" customHeight="1" s="59"/>
    <row r="779" ht="15.75" customHeight="1" s="59"/>
    <row r="780" ht="15.75" customHeight="1" s="59"/>
    <row r="781" ht="15.75" customHeight="1" s="59"/>
    <row r="782" ht="15.75" customHeight="1" s="59"/>
    <row r="783" ht="15.75" customHeight="1" s="59"/>
    <row r="784" ht="15.75" customHeight="1" s="59"/>
    <row r="785" ht="15.75" customHeight="1" s="59"/>
    <row r="786" ht="15.75" customHeight="1" s="59"/>
    <row r="787" ht="15.75" customHeight="1" s="59"/>
    <row r="788" ht="15.75" customHeight="1" s="59"/>
    <row r="789" ht="15.75" customHeight="1" s="59"/>
    <row r="790" ht="15.75" customHeight="1" s="59"/>
    <row r="791" ht="15.75" customHeight="1" s="59"/>
    <row r="792" ht="15.75" customHeight="1" s="59"/>
    <row r="793" ht="15.75" customHeight="1" s="59"/>
    <row r="794" ht="15.75" customHeight="1" s="59"/>
    <row r="795" ht="15.75" customHeight="1" s="59"/>
    <row r="796" ht="15.75" customHeight="1" s="59"/>
    <row r="797" ht="15.75" customHeight="1" s="59"/>
    <row r="798" ht="15.75" customHeight="1" s="59"/>
    <row r="799" ht="15.75" customHeight="1" s="59"/>
    <row r="800" ht="15.75" customHeight="1" s="59"/>
    <row r="801" ht="15.75" customHeight="1" s="59"/>
    <row r="802" ht="15.75" customHeight="1" s="59"/>
    <row r="803" ht="15.75" customHeight="1" s="59"/>
    <row r="804" ht="15.75" customHeight="1" s="59"/>
    <row r="805" ht="15.75" customHeight="1" s="59"/>
    <row r="806" ht="15.75" customHeight="1" s="59"/>
    <row r="807" ht="15.75" customHeight="1" s="59"/>
    <row r="808" ht="15.75" customHeight="1" s="59"/>
    <row r="809" ht="15.75" customHeight="1" s="59"/>
    <row r="810" ht="15.75" customHeight="1" s="59"/>
    <row r="811" ht="15.75" customHeight="1" s="59"/>
    <row r="812" ht="15.75" customHeight="1" s="59"/>
    <row r="813" ht="15.75" customHeight="1" s="59"/>
    <row r="814" ht="15.75" customHeight="1" s="59"/>
    <row r="815" ht="15.75" customHeight="1" s="59"/>
    <row r="816" ht="15.75" customHeight="1" s="59"/>
    <row r="817" ht="15.75" customHeight="1" s="59"/>
    <row r="818" ht="15.75" customHeight="1" s="59"/>
    <row r="819" ht="15.75" customHeight="1" s="59"/>
    <row r="820" ht="15.75" customHeight="1" s="59"/>
    <row r="821" ht="15.75" customHeight="1" s="59"/>
    <row r="822" ht="15.75" customHeight="1" s="59"/>
    <row r="823" ht="15.75" customHeight="1" s="59"/>
    <row r="824" ht="15.75" customHeight="1" s="59"/>
    <row r="825" ht="15.75" customHeight="1" s="59"/>
    <row r="826" ht="15.75" customHeight="1" s="59"/>
    <row r="827" ht="15.75" customHeight="1" s="59"/>
    <row r="828" ht="15.75" customHeight="1" s="59"/>
    <row r="829" ht="15.75" customHeight="1" s="59"/>
    <row r="830" ht="15.75" customHeight="1" s="59"/>
    <row r="831" ht="15.75" customHeight="1" s="59"/>
    <row r="832" ht="15.75" customHeight="1" s="59"/>
    <row r="833" ht="15.75" customHeight="1" s="59"/>
    <row r="834" ht="15.75" customHeight="1" s="59"/>
    <row r="835" ht="15.75" customHeight="1" s="59"/>
    <row r="836" ht="15.75" customHeight="1" s="59"/>
    <row r="837" ht="15.75" customHeight="1" s="59"/>
    <row r="838" ht="15.75" customHeight="1" s="59"/>
    <row r="839" ht="15.75" customHeight="1" s="59"/>
    <row r="840" ht="15.75" customHeight="1" s="59"/>
    <row r="841" ht="15.75" customHeight="1" s="59"/>
    <row r="842" ht="15.75" customHeight="1" s="59"/>
    <row r="843" ht="15.75" customHeight="1" s="59"/>
    <row r="844" ht="15.75" customHeight="1" s="59"/>
    <row r="845" ht="15.75" customHeight="1" s="59"/>
    <row r="846" ht="15.75" customHeight="1" s="59"/>
    <row r="847" ht="15.75" customHeight="1" s="59"/>
    <row r="848" ht="15.75" customHeight="1" s="59"/>
    <row r="849" ht="15.75" customHeight="1" s="59"/>
    <row r="850" ht="15.75" customHeight="1" s="59"/>
    <row r="851" ht="15.75" customHeight="1" s="59"/>
    <row r="852" ht="15.75" customHeight="1" s="59"/>
    <row r="853" ht="15.75" customHeight="1" s="59"/>
    <row r="854" ht="15.75" customHeight="1" s="59"/>
    <row r="855" ht="15.75" customHeight="1" s="59"/>
    <row r="856" ht="15.75" customHeight="1" s="59"/>
    <row r="857" ht="15.75" customHeight="1" s="59"/>
    <row r="858" ht="15.75" customHeight="1" s="59"/>
    <row r="859" ht="15.75" customHeight="1" s="59"/>
    <row r="860" ht="15.75" customHeight="1" s="59"/>
    <row r="861" ht="15.75" customHeight="1" s="59"/>
    <row r="862" ht="15.75" customHeight="1" s="59"/>
    <row r="863" ht="15.75" customHeight="1" s="59"/>
    <row r="864" ht="15.75" customHeight="1" s="59"/>
    <row r="865" ht="15.75" customHeight="1" s="59"/>
    <row r="866" ht="15.75" customHeight="1" s="59"/>
    <row r="867" ht="15.75" customHeight="1" s="59"/>
    <row r="868" ht="15.75" customHeight="1" s="59"/>
    <row r="869" ht="15.75" customHeight="1" s="59"/>
    <row r="870" ht="15.75" customHeight="1" s="59"/>
    <row r="871" ht="15.75" customHeight="1" s="59"/>
    <row r="872" ht="15.75" customHeight="1" s="59"/>
    <row r="873" ht="15.75" customHeight="1" s="59"/>
    <row r="874" ht="15.75" customHeight="1" s="59"/>
    <row r="875" ht="15.75" customHeight="1" s="59"/>
    <row r="876" ht="15.75" customHeight="1" s="59"/>
    <row r="877" ht="15.75" customHeight="1" s="59"/>
    <row r="878" ht="15.75" customHeight="1" s="59"/>
    <row r="879" ht="15.75" customHeight="1" s="59"/>
    <row r="880" ht="15.75" customHeight="1" s="59"/>
    <row r="881" ht="15.75" customHeight="1" s="59"/>
    <row r="882" ht="15.75" customHeight="1" s="59"/>
    <row r="883" ht="15.75" customHeight="1" s="59"/>
    <row r="884" ht="15.75" customHeight="1" s="59"/>
    <row r="885" ht="15.75" customHeight="1" s="59"/>
    <row r="886" ht="15.75" customHeight="1" s="59"/>
    <row r="887" ht="15.75" customHeight="1" s="59"/>
    <row r="888" ht="15.75" customHeight="1" s="59"/>
    <row r="889" ht="15.75" customHeight="1" s="59"/>
    <row r="890" ht="15.75" customHeight="1" s="59"/>
    <row r="891" ht="15.75" customHeight="1" s="59"/>
    <row r="892" ht="15.75" customHeight="1" s="59"/>
    <row r="893" ht="15.75" customHeight="1" s="59"/>
    <row r="894" ht="15.75" customHeight="1" s="59"/>
    <row r="895" ht="15.75" customHeight="1" s="59"/>
    <row r="896" ht="15.75" customHeight="1" s="59"/>
    <row r="897" ht="15.75" customHeight="1" s="59"/>
    <row r="898" ht="15.75" customHeight="1" s="59"/>
    <row r="899" ht="15.75" customHeight="1" s="59"/>
    <row r="900" ht="15.75" customHeight="1" s="59"/>
    <row r="901" ht="15.75" customHeight="1" s="59"/>
    <row r="902" ht="15.75" customHeight="1" s="59"/>
    <row r="903" ht="15.75" customHeight="1" s="59"/>
    <row r="904" ht="15.75" customHeight="1" s="59"/>
    <row r="905" ht="15.75" customHeight="1" s="59"/>
    <row r="906" ht="15.75" customHeight="1" s="59"/>
    <row r="907" ht="15.75" customHeight="1" s="59"/>
    <row r="908" ht="15.75" customHeight="1" s="59"/>
    <row r="909" ht="15.75" customHeight="1" s="59"/>
    <row r="910" ht="15.75" customHeight="1" s="59"/>
    <row r="911" ht="15.75" customHeight="1" s="59"/>
    <row r="912" ht="15.75" customHeight="1" s="59"/>
    <row r="913" ht="15.75" customHeight="1" s="59"/>
    <row r="914" ht="15.75" customHeight="1" s="59"/>
    <row r="915" ht="15.75" customHeight="1" s="59"/>
    <row r="916" ht="15.75" customHeight="1" s="59"/>
    <row r="917" ht="15.75" customHeight="1" s="59"/>
    <row r="918" ht="15.75" customHeight="1" s="59"/>
    <row r="919" ht="15.75" customHeight="1" s="59"/>
    <row r="920" ht="15.75" customHeight="1" s="59"/>
    <row r="921" ht="15.75" customHeight="1" s="59"/>
    <row r="922" ht="15.75" customHeight="1" s="59"/>
    <row r="923" ht="15.75" customHeight="1" s="59"/>
    <row r="924" ht="15.75" customHeight="1" s="59"/>
    <row r="925" ht="15.75" customHeight="1" s="59"/>
    <row r="926" ht="15.75" customHeight="1" s="59"/>
    <row r="927" ht="15.75" customHeight="1" s="59"/>
    <row r="928" ht="15.75" customHeight="1" s="59"/>
    <row r="929" ht="15.75" customHeight="1" s="59"/>
    <row r="930" ht="15.75" customHeight="1" s="59"/>
    <row r="931" ht="15.75" customHeight="1" s="59"/>
    <row r="932" ht="15.75" customHeight="1" s="59"/>
    <row r="933" ht="15.75" customHeight="1" s="59"/>
    <row r="934" ht="15.75" customHeight="1" s="59"/>
    <row r="935" ht="15.75" customHeight="1" s="59"/>
    <row r="936" ht="15.75" customHeight="1" s="59"/>
    <row r="937" ht="15.75" customHeight="1" s="59"/>
    <row r="938" ht="15.75" customHeight="1" s="59"/>
    <row r="939" ht="15.75" customHeight="1" s="59"/>
    <row r="940" ht="15.75" customHeight="1" s="59"/>
    <row r="941" ht="15.75" customHeight="1" s="59"/>
    <row r="942" ht="15.75" customHeight="1" s="59"/>
    <row r="943" ht="15.75" customHeight="1" s="59"/>
    <row r="944" ht="15.75" customHeight="1" s="59"/>
    <row r="945" ht="15.75" customHeight="1" s="59"/>
    <row r="946" ht="15.75" customHeight="1" s="59"/>
    <row r="947" ht="15.75" customHeight="1" s="59"/>
    <row r="948" ht="15.75" customHeight="1" s="59"/>
    <row r="949" ht="15.75" customHeight="1" s="59"/>
    <row r="950" ht="15.75" customHeight="1" s="59"/>
    <row r="951" ht="15.75" customHeight="1" s="59"/>
    <row r="952" ht="15.75" customHeight="1" s="59"/>
    <row r="953" ht="15.75" customHeight="1" s="59"/>
    <row r="954" ht="15.75" customHeight="1" s="59"/>
    <row r="955" ht="15.75" customHeight="1" s="59"/>
    <row r="956" ht="15.75" customHeight="1" s="59"/>
    <row r="957" ht="15.75" customHeight="1" s="59"/>
    <row r="958" ht="15.75" customHeight="1" s="59"/>
    <row r="959" ht="15.75" customHeight="1" s="59"/>
    <row r="960" ht="15.75" customHeight="1" s="59"/>
    <row r="961" ht="15.75" customHeight="1" s="59"/>
    <row r="962" ht="15.75" customHeight="1" s="59"/>
    <row r="963" ht="15.75" customHeight="1" s="59"/>
    <row r="964" ht="15.75" customHeight="1" s="59"/>
    <row r="965" ht="15.75" customHeight="1" s="59"/>
    <row r="966" ht="15.75" customHeight="1" s="59"/>
    <row r="967" ht="15.75" customHeight="1" s="59"/>
    <row r="968" ht="15.75" customHeight="1" s="59"/>
    <row r="969" ht="15.75" customHeight="1" s="59"/>
    <row r="970" ht="15.75" customHeight="1" s="59"/>
    <row r="971" ht="15.75" customHeight="1" s="59"/>
    <row r="972" ht="15.75" customHeight="1" s="59"/>
    <row r="973" ht="15.75" customHeight="1" s="59"/>
    <row r="974" ht="15.75" customHeight="1" s="59"/>
    <row r="975" ht="15.75" customHeight="1" s="59"/>
    <row r="976" ht="15.75" customHeight="1" s="59"/>
    <row r="977" ht="15.75" customHeight="1" s="59"/>
    <row r="978" ht="15.75" customHeight="1" s="59"/>
    <row r="979" ht="15.75" customHeight="1" s="59"/>
    <row r="980" ht="15.75" customHeight="1" s="59"/>
    <row r="981" ht="15.75" customHeight="1" s="59"/>
    <row r="982" ht="15.75" customHeight="1" s="59"/>
    <row r="983" ht="15.75" customHeight="1" s="59"/>
    <row r="984" ht="15.75" customHeight="1" s="59"/>
    <row r="985" ht="15.75" customHeight="1" s="59"/>
    <row r="986" ht="15.75" customHeight="1" s="59"/>
    <row r="987" ht="15.75" customHeight="1" s="59"/>
    <row r="988" ht="15.75" customHeight="1" s="59"/>
    <row r="989" ht="15.75" customHeight="1" s="59"/>
    <row r="990" ht="15.75" customHeight="1" s="59"/>
    <row r="991" ht="15.75" customHeight="1" s="59"/>
    <row r="992" ht="15.75" customHeight="1" s="59"/>
    <row r="993" ht="15.75" customHeight="1" s="59"/>
    <row r="994" ht="15.75" customHeight="1" s="59"/>
    <row r="995" ht="15.75" customHeight="1" s="59"/>
    <row r="996" ht="15.75" customHeight="1" s="59"/>
    <row r="997" ht="15.75" customHeight="1" s="59"/>
    <row r="998" ht="15.75" customHeight="1" s="59"/>
    <row r="999" ht="15.75" customHeight="1" s="59"/>
    <row r="1000" ht="15.75" customHeight="1" s="59"/>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U102"/>
  <sheetViews>
    <sheetView workbookViewId="0">
      <selection activeCell="H27" sqref="H27"/>
    </sheetView>
  </sheetViews>
  <sheetFormatPr baseColWidth="8" defaultColWidth="14.42578125" defaultRowHeight="15" customHeight="1"/>
  <cols>
    <col width="5" customWidth="1" style="59" min="1" max="1"/>
    <col width="13" customWidth="1" style="59" min="2" max="2"/>
    <col width="30" customWidth="1" style="59" min="3" max="3"/>
    <col width="13" customWidth="1" style="59" min="4" max="4"/>
    <col width="9" customWidth="1" style="59" min="5" max="6"/>
    <col width="7" customWidth="1" style="59" min="7" max="7"/>
    <col width="9" customWidth="1" style="59" min="8" max="9"/>
    <col width="10" customWidth="1" style="59" min="10" max="10"/>
    <col width="26" customWidth="1" style="59" min="11" max="11"/>
    <col width="11" customWidth="1" style="59" min="12" max="14"/>
    <col width="10" customWidth="1" style="59" min="15" max="15"/>
    <col width="9" customWidth="1" style="59" min="16" max="16"/>
    <col width="14" customWidth="1" style="59" min="17" max="19"/>
    <col width="8.7109375" customWidth="1" style="59" min="20" max="26"/>
  </cols>
  <sheetData>
    <row r="1" ht="18" customHeight="1" s="59">
      <c r="A1" s="66" t="inlineStr">
        <is>
          <t>ITEM CODE</t>
        </is>
      </c>
      <c r="C1" s="7" t="n"/>
      <c r="D1" s="66" t="inlineStr">
        <is>
          <t>OVERALL L mm</t>
        </is>
      </c>
      <c r="G1" s="9">
        <f t="array" ref="G1">IFERROR(IF(INDEX(ITEMS!$E$5:$E$120,MATCH($C$1,ITEMS!$C$5:$C$120,0))="","",INDEX(ITEMS!$E$5:$E$120,MATCH($C$1,ITEMS!$C$5:$C$120,0))),"")</f>
        <v/>
      </c>
      <c r="H1" s="67" t="n"/>
      <c r="I1" s="67" t="n"/>
      <c r="J1" s="67" t="n"/>
      <c r="K1" s="68" t="n"/>
      <c r="L1" s="69">
        <f>IF(G6="","photo",_xludf.IMAGE(G6))</f>
        <v/>
      </c>
    </row>
    <row r="2" ht="18" customHeight="1" s="59">
      <c r="A2" s="66" t="inlineStr">
        <is>
          <t>ITEM NAME</t>
        </is>
      </c>
      <c r="C2" s="9">
        <f t="array" ref="C2">IFERROR(IF(INDEX(ITEMS!$D$5:$D$120,MATCH($C$1,ITEMS!$C$5:$C$120,0))="","",INDEX(ITEMS!$D$5:$D$120,MATCH($C$1,ITEMS!$C$5:$C$120,0))),"")</f>
        <v/>
      </c>
      <c r="D2" s="66" t="inlineStr">
        <is>
          <t>OVERALL W mm</t>
        </is>
      </c>
      <c r="G2" s="9">
        <f t="array" ref="G2">IFERROR(IF(INDEX(ITEMS!$F$5:$F$120,MATCH($C$1,ITEMS!$C$5:$C$120,0))="","",INDEX(ITEMS!$F$5:$F$120,MATCH($C$1,ITEMS!$C$5:$C$120,0))),"")</f>
        <v/>
      </c>
      <c r="H2" s="67" t="n"/>
      <c r="I2" s="67" t="n"/>
      <c r="J2" s="67" t="n"/>
      <c r="K2" s="68" t="n"/>
    </row>
    <row r="3" ht="18" customHeight="1" s="59">
      <c r="A3" s="66" t="inlineStr">
        <is>
          <t>COLLECTION / ROOM</t>
        </is>
      </c>
      <c r="C3" s="9">
        <f t="array" ref="C3">IFERROR(INDEX(ITEMS!$B$5:$B$120,MATCH($C$1,ITEMS!$C$5:$C$120,0))&amp;" / "&amp;INDEX(ITEMS!$W$5:$W$120,MATCH($C$1,ITEMS!$C$5:$C$120,0)),"")</f>
        <v/>
      </c>
      <c r="D3" s="66" t="inlineStr">
        <is>
          <t>OVERALL H mm</t>
        </is>
      </c>
      <c r="G3" s="9">
        <f t="array" ref="G3">IFERROR(IF(INDEX(ITEMS!$G$5:$G$120,MATCH($C$1,ITEMS!$C$5:$C$120,0))="","",INDEX(ITEMS!$G$5:$G$120,MATCH($C$1,ITEMS!$C$5:$C$120,0))),"")</f>
        <v/>
      </c>
      <c r="H3" s="67" t="n"/>
      <c r="I3" s="67" t="n"/>
      <c r="J3" s="67" t="n"/>
      <c r="K3" s="68" t="n"/>
    </row>
    <row r="4" ht="18" customHeight="1" s="59">
      <c r="A4" s="66" t="inlineStr">
        <is>
          <t>ORDER QTY</t>
        </is>
      </c>
      <c r="C4" s="9">
        <f t="array" ref="C4">IFERROR(IF(INDEX(ITEMS!$H$5:$H$120,MATCH($C$1,ITEMS!$C$5:$C$120,0))="","",INDEX(ITEMS!$H$5:$H$120,MATCH($C$1,ITEMS!$C$5:$C$120,0))),"")</f>
        <v/>
      </c>
      <c r="D4" s="66" t="inlineStr">
        <is>
          <t>DRAWING LINK</t>
        </is>
      </c>
      <c r="G4" s="9">
        <f t="array" ref="G4">IFERROR(IF(INDEX(ITEMS!$I$5:$I$120,MATCH($C$1,ITEMS!$C$5:$C$120,0))="","",INDEX(ITEMS!$I$5:$I$120,MATCH($C$1,ITEMS!$C$5:$C$120,0))),"")</f>
        <v/>
      </c>
      <c r="H4" s="67" t="n"/>
      <c r="I4" s="67" t="n"/>
      <c r="J4" s="67" t="n"/>
      <c r="K4" s="68" t="n"/>
    </row>
    <row r="5" ht="18" customHeight="1" s="59">
      <c r="A5" s="66" t="inlineStr">
        <is>
          <t>FINISH RECIPE</t>
        </is>
      </c>
      <c r="C5" s="10" t="n"/>
      <c r="D5" s="66" t="inlineStr">
        <is>
          <t>SPEC LINK</t>
        </is>
      </c>
      <c r="G5" s="9">
        <f t="array" ref="G5">IFERROR(IF(INDEX(ITEMS!$V$5:$V$120,MATCH($C$1,ITEMS!$C$5:$C$120,0))="","",INDEX(ITEMS!$V$5:$V$120,MATCH($C$1,ITEMS!$C$5:$C$120,0))),"")</f>
        <v/>
      </c>
      <c r="H5" s="67" t="n"/>
      <c r="I5" s="67" t="n"/>
      <c r="J5" s="67" t="n"/>
      <c r="K5" s="68" t="n"/>
    </row>
    <row r="6" ht="18" customHeight="1" s="59">
      <c r="A6" s="66" t="inlineStr">
        <is>
          <t>FLATPACK? (Y/N)</t>
        </is>
      </c>
      <c r="C6" s="10" t="n"/>
      <c r="D6" s="66" t="inlineStr">
        <is>
          <t>PHOTO LINK</t>
        </is>
      </c>
      <c r="G6" s="10" t="n"/>
      <c r="H6" s="67" t="n"/>
      <c r="I6" s="67" t="n"/>
      <c r="J6" s="67" t="n"/>
      <c r="K6" s="68" t="n"/>
    </row>
    <row r="7" ht="18" customHeight="1" s="59">
      <c r="A7" s="66" t="inlineStr">
        <is>
          <t>NOTES</t>
        </is>
      </c>
      <c r="C7" s="9">
        <f t="array" ref="C7">IFERROR(IF(INDEX(ITEMS!$X$5:$X$120,MATCH($C$1,ITEMS!$C$5:$C$120,0))="","",INDEX(ITEMS!$X$5:$X$120,MATCH($C$1,ITEMS!$C$5:$C$120,0))),"")</f>
        <v/>
      </c>
      <c r="D7" s="66" t="inlineStr">
        <is>
          <t>REVISION / DATE</t>
        </is>
      </c>
      <c r="G7" s="10" t="n"/>
      <c r="H7" s="67" t="n"/>
      <c r="I7" s="67" t="n"/>
      <c r="J7" s="67" t="n"/>
      <c r="K7" s="68" t="n"/>
    </row>
    <row r="8" ht="6" customHeight="1" s="59"/>
    <row r="9">
      <c r="A9" s="5" t="inlineStr">
        <is>
          <t>PACKING: assembled = leave boxes blank (system uses overall size + 40 mm as 1 carton). Flatpack = one row per box.</t>
        </is>
      </c>
    </row>
    <row r="10" ht="30" customHeight="1" s="59">
      <c r="A10" s="8" t="inlineStr">
        <is>
          <t>BOX</t>
        </is>
      </c>
      <c r="B10" s="8" t="inlineStr">
        <is>
          <t>CONTENTS</t>
        </is>
      </c>
      <c r="C10" s="68" t="n"/>
      <c r="D10" s="8" t="inlineStr">
        <is>
          <t>L mm</t>
        </is>
      </c>
      <c r="E10" s="8" t="inlineStr">
        <is>
          <t>W mm</t>
        </is>
      </c>
      <c r="F10" s="8" t="inlineStr">
        <is>
          <t>H mm</t>
        </is>
      </c>
      <c r="G10" s="8" t="inlineStr">
        <is>
          <t>QTY</t>
        </is>
      </c>
      <c r="H10" s="8" t="inlineStr">
        <is>
          <t>CARTON L</t>
        </is>
      </c>
      <c r="I10" s="8" t="inlineStr">
        <is>
          <t>CARTON W</t>
        </is>
      </c>
      <c r="J10" s="8" t="inlineStr">
        <is>
          <t>CARTON H</t>
        </is>
      </c>
      <c r="K10" s="8" t="n"/>
      <c r="L10" s="8" t="inlineStr">
        <is>
          <t>m² 6 sides (calc)</t>
        </is>
      </c>
      <c r="M10" s="8" t="inlineStr">
        <is>
          <t>m³ (calc)</t>
        </is>
      </c>
    </row>
    <row r="11">
      <c r="A11" s="13" t="n">
        <v>1</v>
      </c>
      <c r="B11" s="10" t="n"/>
      <c r="C11" s="68" t="n"/>
      <c r="D11" s="10" t="n"/>
      <c r="E11" s="10" t="n"/>
      <c r="F11" s="10" t="n"/>
      <c r="G11" s="10" t="n"/>
      <c r="H11" s="14">
        <f>IF(D11="","",D11+LISTS!$F$9)</f>
        <v/>
      </c>
      <c r="I11" s="14">
        <f>IF(E11="","",E11+LISTS!$F$9)</f>
        <v/>
      </c>
      <c r="J11" s="14">
        <f>IF(F11="","",F11+LISTS!$F$9)</f>
        <v/>
      </c>
      <c r="K11" s="15" t="n"/>
      <c r="L11" s="17">
        <f>IF(H11="","",2*(H11*I11+H11*J11+I11*J11)/1000000*IF(G11="",1,G11))</f>
        <v/>
      </c>
      <c r="M11" s="19">
        <f>IF(H11="","",H11*I11*J11/1000000000*IF(G11="",1,G11))</f>
        <v/>
      </c>
    </row>
    <row r="12">
      <c r="A12" s="13" t="n">
        <v>2</v>
      </c>
      <c r="B12" s="10" t="n"/>
      <c r="C12" s="68" t="n"/>
      <c r="D12" s="10" t="n"/>
      <c r="E12" s="10" t="n"/>
      <c r="F12" s="10" t="n"/>
      <c r="G12" s="10" t="n"/>
      <c r="H12" s="14">
        <f>IF(D12="","",D12+LISTS!$F$9)</f>
        <v/>
      </c>
      <c r="I12" s="14">
        <f>IF(E12="","",E12+LISTS!$F$9)</f>
        <v/>
      </c>
      <c r="J12" s="14">
        <f>IF(F12="","",F12+LISTS!$F$9)</f>
        <v/>
      </c>
      <c r="K12" s="15" t="n"/>
      <c r="L12" s="17">
        <f>IF(H12="","",2*(H12*I12+H12*J12+I12*J12)/1000000*IF(G12="",1,G12))</f>
        <v/>
      </c>
      <c r="M12" s="19">
        <f>IF(H12="","",H12*I12*J12/1000000000*IF(G12="",1,G12))</f>
        <v/>
      </c>
    </row>
    <row r="13">
      <c r="A13" s="13" t="n">
        <v>3</v>
      </c>
      <c r="B13" s="10" t="n"/>
      <c r="C13" s="68" t="n"/>
      <c r="D13" s="10" t="n"/>
      <c r="E13" s="10" t="n"/>
      <c r="F13" s="10" t="n"/>
      <c r="G13" s="10" t="n"/>
      <c r="H13" s="14">
        <f>IF(D13="","",D13+LISTS!$F$9)</f>
        <v/>
      </c>
      <c r="I13" s="14">
        <f>IF(E13="","",E13+LISTS!$F$9)</f>
        <v/>
      </c>
      <c r="J13" s="14">
        <f>IF(F13="","",F13+LISTS!$F$9)</f>
        <v/>
      </c>
      <c r="K13" s="15" t="n"/>
      <c r="L13" s="17">
        <f>IF(H13="","",2*(H13*I13+H13*J13+I13*J13)/1000000*IF(G13="",1,G13))</f>
        <v/>
      </c>
      <c r="M13" s="19">
        <f>IF(H13="","",H13*I13*J13/1000000000*IF(G13="",1,G13))</f>
        <v/>
      </c>
    </row>
    <row r="14">
      <c r="A14" s="13" t="n">
        <v>4</v>
      </c>
      <c r="B14" s="10" t="n"/>
      <c r="C14" s="68" t="n"/>
      <c r="D14" s="10" t="n"/>
      <c r="E14" s="10" t="n"/>
      <c r="F14" s="10" t="n"/>
      <c r="G14" s="10" t="n"/>
      <c r="H14" s="14">
        <f>IF(D14="","",D14+LISTS!$F$9)</f>
        <v/>
      </c>
      <c r="I14" s="14">
        <f>IF(E14="","",E14+LISTS!$F$9)</f>
        <v/>
      </c>
      <c r="J14" s="14">
        <f>IF(F14="","",F14+LISTS!$F$9)</f>
        <v/>
      </c>
      <c r="K14" s="15" t="n"/>
      <c r="L14" s="17">
        <f>IF(H14="","",2*(H14*I14+H14*J14+I14*J14)/1000000*IF(G14="",1,G14))</f>
        <v/>
      </c>
      <c r="M14" s="19">
        <f>IF(H14="","",H14*I14*J14/1000000000*IF(G14="",1,G14))</f>
        <v/>
      </c>
    </row>
    <row r="15">
      <c r="A15" s="13" t="inlineStr">
        <is>
          <t>TOTAL</t>
        </is>
      </c>
      <c r="B15" s="15" t="n"/>
      <c r="C15" s="15" t="n"/>
      <c r="D15" s="15" t="n"/>
      <c r="E15" s="15" t="n"/>
      <c r="F15" s="15" t="n"/>
      <c r="G15" s="22">
        <f>IF(D11="",1,SUM(G11:G14)+COUNTIFS(D11:D14,"&lt;&gt;",G11:G14,""))</f>
        <v/>
      </c>
      <c r="H15" s="9" t="inlineStr">
        <is>
          <t>cartons</t>
        </is>
      </c>
      <c r="I15" s="15" t="n"/>
      <c r="J15" s="15" t="n"/>
      <c r="K15" s="15" t="n"/>
      <c r="L15" s="23">
        <f>IF(D11="",IF(OR(G1="",G2="",G3=""),0,2*((G1+LISTS!$F$9)*(G2+LISTS!$F$9)+(G1+LISTS!$F$9)*(G3+LISTS!$F$9)+(G2+LISTS!$F$9)*(G3+LISTS!$F$9))/1000000),SUM(L11:L14))</f>
        <v/>
      </c>
      <c r="M15" s="24">
        <f>IF(D11="",IF(OR(G1="",G2="",G3=""),0,(G1+LISTS!$F$9)*(G2+LISTS!$F$9)*(G3+LISTS!$F$9)/1000000000),SUM(M11:M14))</f>
        <v/>
      </c>
    </row>
    <row r="16" s="59">
      <c r="A16" s="5" t="inlineStr">
        <is>
          <t>SOLID WOOD: one line per component, mm, qty per ONE item</t>
        </is>
      </c>
    </row>
    <row r="17" ht="31.5" customHeight="1" s="59">
      <c r="A17" s="8" t="inlineStr">
        <is>
          <t>NO</t>
        </is>
      </c>
      <c r="B17" s="8" t="inlineStr">
        <is>
          <t>MATERIAL</t>
        </is>
      </c>
      <c r="C17" s="47" t="inlineStr">
        <is>
          <t>LABEL</t>
        </is>
      </c>
      <c r="D17" s="8" t="inlineStr">
        <is>
          <t>COMPONENT</t>
        </is>
      </c>
      <c r="E17" s="8" t="inlineStr">
        <is>
          <t>L mm</t>
        </is>
      </c>
      <c r="F17" s="8" t="inlineStr">
        <is>
          <t>W mm</t>
        </is>
      </c>
      <c r="G17" s="8" t="inlineStr">
        <is>
          <t>T mm</t>
        </is>
      </c>
      <c r="H17" s="8" t="inlineStr">
        <is>
          <t>QTY</t>
        </is>
      </c>
      <c r="I17" s="8" t="inlineStr">
        <is>
          <t>EXPOSED Y/N</t>
        </is>
      </c>
      <c r="J17" s="8" t="inlineStr">
        <is>
          <t>CURVED Y/N</t>
        </is>
      </c>
      <c r="K17" s="8" t="inlineStr">
        <is>
          <t>TIER OVERRIDE</t>
        </is>
      </c>
      <c r="L17" s="8" t="inlineStr">
        <is>
          <t>NOTE</t>
        </is>
      </c>
      <c r="M17" s="8" t="inlineStr">
        <is>
          <t>VOL m³ (calc)</t>
        </is>
      </c>
      <c r="N17" s="8" t="inlineStr">
        <is>
          <t>FACE m² (calc)</t>
        </is>
      </c>
      <c r="O17" s="8" t="inlineStr">
        <is>
          <t>AUTO TIER (calc)</t>
        </is>
      </c>
      <c r="P17" s="8" t="n"/>
      <c r="Q17" s="8" t="n"/>
      <c r="R17" s="8" t="inlineStr">
        <is>
          <t>CHECK (calc)</t>
        </is>
      </c>
      <c r="S17" s="8" t="inlineStr">
        <is>
          <t>RATE (system)</t>
        </is>
      </c>
      <c r="T17" s="8" t="inlineStr">
        <is>
          <t>COST IDR (system)</t>
        </is>
      </c>
      <c r="U17" s="90" t="inlineStr">
        <is>
          <t>COST USD
(system)</t>
        </is>
      </c>
    </row>
    <row r="18" s="59">
      <c r="A18" s="9" t="n">
        <v>1</v>
      </c>
      <c r="B18" s="10" t="n"/>
      <c r="C18" s="48" t="n"/>
      <c r="D18" s="10" t="n"/>
      <c r="E18" s="10" t="n"/>
      <c r="F18" s="10" t="n"/>
      <c r="G18" s="10" t="n"/>
      <c r="H18" s="10" t="n"/>
      <c r="I18" s="10" t="n"/>
      <c r="J18" s="10" t="n"/>
      <c r="K18" s="10" t="n"/>
      <c r="L18" s="10" t="n"/>
      <c r="M18" s="25">
        <f>IF(OR(E18="",F18="",G18=""),"",E18*F18*G18/1000000000*IF(H18="",1,H18))</f>
        <v/>
      </c>
      <c r="N18" s="19">
        <f>IF(OR(E18="",F18=""),"",E18*F18/1000000*IF(H18="",1,H18))</f>
        <v/>
      </c>
      <c r="O18" s="14">
        <f>IF(E18="","",IF(K18&lt;&gt;"",K18,IF(AND(E18*F18*G18/1000000000&lt;LISTS!$F$4,MAX(E18,F18,G18)&lt;LISTS!$F$5),"D",IF(I18="N","C",IF(J18="Y","A-CURVED",IF(AND(MEDIAN(E18,F18,G18)&lt;=LISTS!$F$10,MAX(E18,F18,G18)&lt;=LISTS!$F$11),"B",IF(MAX(E18,F18,G18)&gt;=LISTS!$F$3,"A","B")))))))</f>
        <v/>
      </c>
      <c r="P18" s="14" t="n"/>
      <c r="Q18" s="14" t="n"/>
      <c r="R18" s="14">
        <f>IF(E18="","",IF(B18="","material?",IF(OR(F18="",G18=""),"size?",IF(I18="","exposed Y/N?",IF(H18="","qty?",IF(B18="OTHER","OTHER: no rate, price it under hardware","OK"))))))</f>
        <v/>
      </c>
      <c r="S18" s="12">
        <f t="array" ref="S18">IF(OR(O18="",M18=""),"",IF(B18="MERANTI",RATES!$C$45,IFERROR(INDEX(RATES!$C:$C,MATCH(B18&amp;"_"&amp;SUBSTITUTE(O18,"-CURVED","C"),RATES!$A:$A,0)),"rate?")))</f>
        <v/>
      </c>
      <c r="T18" s="12">
        <f>IF(ISNUMBER(S18),M18*S18,"")</f>
        <v/>
      </c>
    </row>
    <row r="19">
      <c r="A19" s="9" t="n">
        <v>2</v>
      </c>
      <c r="B19" s="10" t="n"/>
      <c r="C19" s="48" t="n"/>
      <c r="D19" s="10" t="n"/>
      <c r="E19" s="10" t="n"/>
      <c r="F19" s="10" t="n"/>
      <c r="G19" s="10" t="n"/>
      <c r="H19" s="10" t="n"/>
      <c r="I19" s="10" t="n"/>
      <c r="J19" s="10" t="n"/>
      <c r="K19" s="10" t="n"/>
      <c r="L19" s="10" t="n"/>
      <c r="M19" s="25">
        <f>IF(OR(E19="",F19="",G19=""),"",E19*F19*G19/1000000000*IF(H19="",1,H19))</f>
        <v/>
      </c>
      <c r="N19" s="19">
        <f>IF(OR(E19="",F19=""),"",E19*F19/1000000*IF(H19="",1,H19))</f>
        <v/>
      </c>
      <c r="O19" s="14">
        <f>IF(E19="","",IF(K19&lt;&gt;"",K19,IF(AND(E19*F19*G19/1000000000&lt;LISTS!$F$4,MAX(E19,F19,G19)&lt;LISTS!$F$5),"D",IF(I19="N","C",IF(J19="Y","A-CURVED",IF(AND(MEDIAN(E19,F19,G19)&lt;=LISTS!$F$10,MAX(E19,F19,G19)&lt;=LISTS!$F$11),"B",IF(MAX(E19,F19,G19)&gt;=LISTS!$F$3,"A","B")))))))</f>
        <v/>
      </c>
      <c r="P19" s="14" t="n"/>
      <c r="Q19" s="14" t="n"/>
      <c r="R19" s="14">
        <f>IF(E19="","",IF(B19="","material?",IF(OR(F19="",G19=""),"size?",IF(I19="","exposed Y/N?",IF(H19="","qty?",IF(B19="OTHER","OTHER: no rate, price it under hardware","OK"))))))</f>
        <v/>
      </c>
      <c r="S19" s="12">
        <f t="array" ref="S19">IF(OR(O19="",M19=""),"",IF(B19="MERANTI",RATES!$C$45,IFERROR(INDEX(RATES!$C:$C,MATCH(B19&amp;"_"&amp;SUBSTITUTE(O19,"-CURVED","C"),RATES!$A:$A,0)),"rate?")))</f>
        <v/>
      </c>
      <c r="T19" s="12">
        <f>IF(ISNUMBER(S19),M19*S19,"")</f>
        <v/>
      </c>
    </row>
    <row r="20">
      <c r="A20" s="9" t="n">
        <v>3</v>
      </c>
      <c r="B20" s="10" t="n"/>
      <c r="C20" s="48" t="n"/>
      <c r="D20" s="10" t="n"/>
      <c r="E20" s="10" t="n"/>
      <c r="F20" s="10" t="n"/>
      <c r="G20" s="10" t="n"/>
      <c r="H20" s="10" t="n"/>
      <c r="I20" s="10" t="n"/>
      <c r="J20" s="10" t="n"/>
      <c r="K20" s="10" t="n"/>
      <c r="L20" s="10" t="n"/>
      <c r="M20" s="25">
        <f>IF(OR(E20="",F20="",G20=""),"",E20*F20*G20/1000000000*IF(H20="",1,H20))</f>
        <v/>
      </c>
      <c r="N20" s="19">
        <f>IF(OR(E20="",F20=""),"",E20*F20/1000000*IF(H20="",1,H20))</f>
        <v/>
      </c>
      <c r="O20" s="14">
        <f>IF(E20="","",IF(K20&lt;&gt;"",K20,IF(AND(E20*F20*G20/1000000000&lt;LISTS!$F$4,MAX(E20,F20,G20)&lt;LISTS!$F$5),"D",IF(I20="N","C",IF(J20="Y","A-CURVED",IF(AND(MEDIAN(E20,F20,G20)&lt;=LISTS!$F$10,MAX(E20,F20,G20)&lt;=LISTS!$F$11),"B",IF(MAX(E20,F20,G20)&gt;=LISTS!$F$3,"A","B")))))))</f>
        <v/>
      </c>
      <c r="P20" s="14" t="n"/>
      <c r="Q20" s="14" t="n"/>
      <c r="R20" s="14">
        <f>IF(E20="","",IF(B20="","material?",IF(OR(F20="",G20=""),"size?",IF(I20="","exposed Y/N?",IF(H20="","qty?",IF(B20="OTHER","OTHER: no rate, price it under hardware","OK"))))))</f>
        <v/>
      </c>
      <c r="S20" s="12">
        <f t="array" ref="S20">IF(OR(O20="",M20=""),"",IF(B20="MERANTI",RATES!$C$45,IFERROR(INDEX(RATES!$C:$C,MATCH(B20&amp;"_"&amp;SUBSTITUTE(O20,"-CURVED","C"),RATES!$A:$A,0)),"rate?")))</f>
        <v/>
      </c>
      <c r="T20" s="12">
        <f>IF(ISNUMBER(S20),M20*S20,"")</f>
        <v/>
      </c>
    </row>
    <row r="21" ht="15.75" customHeight="1" s="59">
      <c r="A21" s="9" t="n">
        <v>4</v>
      </c>
      <c r="B21" s="10" t="n"/>
      <c r="C21" s="48" t="n"/>
      <c r="D21" s="10" t="n"/>
      <c r="E21" s="10" t="n"/>
      <c r="F21" s="10" t="n"/>
      <c r="G21" s="10" t="n"/>
      <c r="H21" s="10" t="n"/>
      <c r="I21" s="10" t="n"/>
      <c r="J21" s="10" t="n"/>
      <c r="K21" s="10" t="n"/>
      <c r="L21" s="10" t="n"/>
      <c r="M21" s="25">
        <f>IF(OR(E21="",F21="",G21=""),"",E21*F21*G21/1000000000*IF(H21="",1,H21))</f>
        <v/>
      </c>
      <c r="N21" s="19">
        <f>IF(OR(E21="",F21=""),"",E21*F21/1000000*IF(H21="",1,H21))</f>
        <v/>
      </c>
      <c r="O21" s="14">
        <f>IF(E21="","",IF(K21&lt;&gt;"",K21,IF(AND(E21*F21*G21/1000000000&lt;LISTS!$F$4,MAX(E21,F21,G21)&lt;LISTS!$F$5),"D",IF(I21="N","C",IF(J21="Y","A-CURVED",IF(AND(MEDIAN(E21,F21,G21)&lt;=LISTS!$F$10,MAX(E21,F21,G21)&lt;=LISTS!$F$11),"B",IF(MAX(E21,F21,G21)&gt;=LISTS!$F$3,"A","B")))))))</f>
        <v/>
      </c>
      <c r="P21" s="14" t="n"/>
      <c r="Q21" s="14" t="n"/>
      <c r="R21" s="14">
        <f>IF(E21="","",IF(B21="","material?",IF(OR(F21="",G21=""),"size?",IF(I21="","exposed Y/N?",IF(H21="","qty?",IF(B21="OTHER","OTHER: no rate, price it under hardware","OK"))))))</f>
        <v/>
      </c>
      <c r="S21" s="12">
        <f t="array" ref="S21">IF(OR(O21="",M21=""),"",IF(B21="MERANTI",RATES!$C$45,IFERROR(INDEX(RATES!$C:$C,MATCH(B21&amp;"_"&amp;SUBSTITUTE(O21,"-CURVED","C"),RATES!$A:$A,0)),"rate?")))</f>
        <v/>
      </c>
      <c r="T21" s="12">
        <f>IF(ISNUMBER(S21),M21*S21,"")</f>
        <v/>
      </c>
    </row>
    <row r="22" ht="15.75" customHeight="1" s="59">
      <c r="A22" s="9" t="n">
        <v>5</v>
      </c>
      <c r="B22" s="10" t="n"/>
      <c r="C22" s="48" t="n"/>
      <c r="D22" s="10" t="n"/>
      <c r="E22" s="10" t="n"/>
      <c r="F22" s="10" t="n"/>
      <c r="G22" s="10" t="n"/>
      <c r="H22" s="10" t="n"/>
      <c r="I22" s="10" t="n"/>
      <c r="J22" s="10" t="n"/>
      <c r="K22" s="10" t="n"/>
      <c r="L22" s="10" t="n"/>
      <c r="M22" s="25">
        <f>IF(OR(E22="",F22="",G22=""),"",E22*F22*G22/1000000000*IF(H22="",1,H22))</f>
        <v/>
      </c>
      <c r="N22" s="19">
        <f>IF(OR(E22="",F22=""),"",E22*F22/1000000*IF(H22="",1,H22))</f>
        <v/>
      </c>
      <c r="O22" s="14">
        <f>IF(E22="","",IF(K22&lt;&gt;"",K22,IF(AND(E22*F22*G22/1000000000&lt;LISTS!$F$4,MAX(E22,F22,G22)&lt;LISTS!$F$5),"D",IF(I22="N","C",IF(J22="Y","A-CURVED",IF(AND(MEDIAN(E22,F22,G22)&lt;=LISTS!$F$10,MAX(E22,F22,G22)&lt;=LISTS!$F$11),"B",IF(MAX(E22,F22,G22)&gt;=LISTS!$F$3,"A","B")))))))</f>
        <v/>
      </c>
      <c r="P22" s="14" t="n"/>
      <c r="Q22" s="14" t="n"/>
      <c r="R22" s="14">
        <f>IF(E22="","",IF(B22="","material?",IF(OR(F22="",G22=""),"size?",IF(I22="","exposed Y/N?",IF(H22="","qty?",IF(B22="OTHER","OTHER: no rate, price it under hardware","OK"))))))</f>
        <v/>
      </c>
      <c r="S22" s="12">
        <f t="array" ref="S22">IF(OR(O22="",M22=""),"",IF(B22="MERANTI",RATES!$C$45,IFERROR(INDEX(RATES!$C:$C,MATCH(B22&amp;"_"&amp;SUBSTITUTE(O22,"-CURVED","C"),RATES!$A:$A,0)),"rate?")))</f>
        <v/>
      </c>
      <c r="T22" s="12">
        <f>IF(ISNUMBER(S22),M22*S22,"")</f>
        <v/>
      </c>
    </row>
    <row r="23" ht="15.75" customHeight="1" s="59">
      <c r="A23" s="9" t="n">
        <v>6</v>
      </c>
      <c r="B23" s="10" t="n"/>
      <c r="C23" s="48" t="n"/>
      <c r="D23" s="10" t="n"/>
      <c r="E23" s="10" t="n"/>
      <c r="F23" s="10" t="n"/>
      <c r="G23" s="10" t="n"/>
      <c r="H23" s="10" t="n"/>
      <c r="I23" s="10" t="n"/>
      <c r="J23" s="10" t="n"/>
      <c r="K23" s="10" t="n"/>
      <c r="L23" s="10" t="n"/>
      <c r="M23" s="25">
        <f>IF(OR(E23="",F23="",G23=""),"",E23*F23*G23/1000000000*IF(H23="",1,H23))</f>
        <v/>
      </c>
      <c r="N23" s="19">
        <f>IF(OR(E23="",F23=""),"",E23*F23/1000000*IF(H23="",1,H23))</f>
        <v/>
      </c>
      <c r="O23" s="14">
        <f>IF(E23="","",IF(K23&lt;&gt;"",K23,IF(AND(E23*F23*G23/1000000000&lt;LISTS!$F$4,MAX(E23,F23,G23)&lt;LISTS!$F$5),"D",IF(I23="N","C",IF(J23="Y","A-CURVED",IF(AND(MEDIAN(E23,F23,G23)&lt;=LISTS!$F$10,MAX(E23,F23,G23)&lt;=LISTS!$F$11),"B",IF(MAX(E23,F23,G23)&gt;=LISTS!$F$3,"A","B")))))))</f>
        <v/>
      </c>
      <c r="P23" s="14" t="n"/>
      <c r="Q23" s="14" t="n"/>
      <c r="R23" s="14">
        <f>IF(E23="","",IF(B23="","material?",IF(OR(F23="",G23=""),"size?",IF(I23="","exposed Y/N?",IF(H23="","qty?",IF(B23="OTHER","OTHER: no rate, price it under hardware","OK"))))))</f>
        <v/>
      </c>
      <c r="S23" s="12">
        <f t="array" ref="S23">IF(OR(O23="",M23=""),"",IF(B23="MERANTI",RATES!$C$45,IFERROR(INDEX(RATES!$C:$C,MATCH(B23&amp;"_"&amp;SUBSTITUTE(O23,"-CURVED","C"),RATES!$A:$A,0)),"rate?")))</f>
        <v/>
      </c>
      <c r="T23" s="12">
        <f>IF(ISNUMBER(S23),M23*S23,"")</f>
        <v/>
      </c>
    </row>
    <row r="24" ht="15.75" customHeight="1" s="59">
      <c r="A24" s="9" t="n">
        <v>7</v>
      </c>
      <c r="B24" s="10" t="n"/>
      <c r="C24" s="48" t="n"/>
      <c r="D24" s="10" t="n"/>
      <c r="E24" s="10" t="n"/>
      <c r="F24" s="10" t="n"/>
      <c r="G24" s="10" t="n"/>
      <c r="H24" s="10" t="n"/>
      <c r="I24" s="10" t="n"/>
      <c r="J24" s="10" t="n"/>
      <c r="K24" s="10" t="n"/>
      <c r="L24" s="10" t="n"/>
      <c r="M24" s="25">
        <f>IF(OR(E24="",F24="",G24=""),"",E24*F24*G24/1000000000*IF(H24="",1,H24))</f>
        <v/>
      </c>
      <c r="N24" s="19">
        <f>IF(OR(E24="",F24=""),"",E24*F24/1000000*IF(H24="",1,H24))</f>
        <v/>
      </c>
      <c r="O24" s="14">
        <f>IF(E24="","",IF(K24&lt;&gt;"",K24,IF(AND(E24*F24*G24/1000000000&lt;LISTS!$F$4,MAX(E24,F24,G24)&lt;LISTS!$F$5),"D",IF(I24="N","C",IF(J24="Y","A-CURVED",IF(AND(MEDIAN(E24,F24,G24)&lt;=LISTS!$F$10,MAX(E24,F24,G24)&lt;=LISTS!$F$11),"B",IF(MAX(E24,F24,G24)&gt;=LISTS!$F$3,"A","B")))))))</f>
        <v/>
      </c>
      <c r="P24" s="14" t="n"/>
      <c r="Q24" s="14" t="n"/>
      <c r="R24" s="14">
        <f>IF(E24="","",IF(B24="","material?",IF(OR(F24="",G24=""),"size?",IF(I24="","exposed Y/N?",IF(H24="","qty?",IF(B24="OTHER","OTHER: no rate, price it under hardware","OK"))))))</f>
        <v/>
      </c>
      <c r="S24" s="12">
        <f t="array" ref="S24">IF(OR(O24="",M24=""),"",IF(B24="MERANTI",RATES!$C$45,IFERROR(INDEX(RATES!$C:$C,MATCH(B24&amp;"_"&amp;SUBSTITUTE(O24,"-CURVED","C"),RATES!$A:$A,0)),"rate?")))</f>
        <v/>
      </c>
      <c r="T24" s="12">
        <f>IF(ISNUMBER(S24),M24*S24,"")</f>
        <v/>
      </c>
    </row>
    <row r="25" ht="15.75" customHeight="1" s="59">
      <c r="A25" s="9" t="n">
        <v>8</v>
      </c>
      <c r="B25" s="10" t="n"/>
      <c r="C25" s="48" t="n"/>
      <c r="D25" s="10" t="n"/>
      <c r="E25" s="10" t="n"/>
      <c r="F25" s="10" t="n"/>
      <c r="G25" s="10" t="n"/>
      <c r="H25" s="10" t="n"/>
      <c r="I25" s="10" t="n"/>
      <c r="J25" s="10" t="n"/>
      <c r="K25" s="10" t="n"/>
      <c r="L25" s="10" t="n"/>
      <c r="M25" s="25">
        <f>IF(OR(E25="",F25="",G25=""),"",E25*F25*G25/1000000000*IF(H25="",1,H25))</f>
        <v/>
      </c>
      <c r="N25" s="19">
        <f>IF(OR(E25="",F25=""),"",E25*F25/1000000*IF(H25="",1,H25))</f>
        <v/>
      </c>
      <c r="O25" s="14">
        <f>IF(E25="","",IF(K25&lt;&gt;"",K25,IF(AND(E25*F25*G25/1000000000&lt;LISTS!$F$4,MAX(E25,F25,G25)&lt;LISTS!$F$5),"D",IF(I25="N","C",IF(J25="Y","A-CURVED",IF(AND(MEDIAN(E25,F25,G25)&lt;=LISTS!$F$10,MAX(E25,F25,G25)&lt;=LISTS!$F$11),"B",IF(MAX(E25,F25,G25)&gt;=LISTS!$F$3,"A","B")))))))</f>
        <v/>
      </c>
      <c r="P25" s="14" t="n"/>
      <c r="Q25" s="14" t="n"/>
      <c r="R25" s="14">
        <f>IF(E25="","",IF(B25="","material?",IF(OR(F25="",G25=""),"size?",IF(I25="","exposed Y/N?",IF(H25="","qty?",IF(B25="OTHER","OTHER: no rate, price it under hardware","OK"))))))</f>
        <v/>
      </c>
      <c r="S25" s="12">
        <f t="array" ref="S25">IF(OR(O25="",M25=""),"",IF(B25="MERANTI",RATES!$C$45,IFERROR(INDEX(RATES!$C:$C,MATCH(B25&amp;"_"&amp;SUBSTITUTE(O25,"-CURVED","C"),RATES!$A:$A,0)),"rate?")))</f>
        <v/>
      </c>
      <c r="T25" s="12">
        <f>IF(ISNUMBER(S25),M25*S25,"")</f>
        <v/>
      </c>
    </row>
    <row r="26" ht="15.75" customHeight="1" s="59">
      <c r="A26" s="9" t="n">
        <v>9</v>
      </c>
      <c r="B26" s="10" t="n"/>
      <c r="C26" s="48" t="n"/>
      <c r="D26" s="10" t="n"/>
      <c r="E26" s="10" t="n"/>
      <c r="F26" s="10" t="n"/>
      <c r="G26" s="10" t="n"/>
      <c r="H26" s="10" t="n"/>
      <c r="I26" s="10" t="n"/>
      <c r="J26" s="10" t="n"/>
      <c r="K26" s="10" t="n"/>
      <c r="L26" s="10" t="n"/>
      <c r="M26" s="25">
        <f>IF(OR(E26="",F26="",G26=""),"",E26*F26*G26/1000000000*IF(H26="",1,H26))</f>
        <v/>
      </c>
      <c r="N26" s="19">
        <f>IF(OR(E26="",F26=""),"",E26*F26/1000000*IF(H26="",1,H26))</f>
        <v/>
      </c>
      <c r="O26" s="14">
        <f>IF(E26="","",IF(K26&lt;&gt;"",K26,IF(AND(E26*F26*G26/1000000000&lt;LISTS!$F$4,MAX(E26,F26,G26)&lt;LISTS!$F$5),"D",IF(I26="N","C",IF(J26="Y","A-CURVED",IF(AND(MEDIAN(E26,F26,G26)&lt;=LISTS!$F$10,MAX(E26,F26,G26)&lt;=LISTS!$F$11),"B",IF(MAX(E26,F26,G26)&gt;=LISTS!$F$3,"A","B")))))))</f>
        <v/>
      </c>
      <c r="P26" s="14" t="n"/>
      <c r="Q26" s="14" t="n"/>
      <c r="R26" s="14">
        <f>IF(E26="","",IF(B26="","material?",IF(OR(F26="",G26=""),"size?",IF(I26="","exposed Y/N?",IF(H26="","qty?",IF(B26="OTHER","OTHER: no rate, price it under hardware","OK"))))))</f>
        <v/>
      </c>
      <c r="S26" s="12">
        <f t="array" ref="S26">IF(OR(O26="",M26=""),"",IF(B26="MERANTI",RATES!$C$45,IFERROR(INDEX(RATES!$C:$C,MATCH(B26&amp;"_"&amp;SUBSTITUTE(O26,"-CURVED","C"),RATES!$A:$A,0)),"rate?")))</f>
        <v/>
      </c>
      <c r="T26" s="12">
        <f>IF(ISNUMBER(S26),M26*S26,"")</f>
        <v/>
      </c>
    </row>
    <row r="27" ht="15.75" customHeight="1" s="59">
      <c r="A27" s="9" t="n">
        <v>10</v>
      </c>
      <c r="B27" s="10" t="n"/>
      <c r="C27" s="48" t="n"/>
      <c r="D27" s="10" t="n"/>
      <c r="E27" s="10" t="n"/>
      <c r="F27" s="10" t="n"/>
      <c r="G27" s="10" t="n"/>
      <c r="H27" s="10" t="n"/>
      <c r="I27" s="10" t="n"/>
      <c r="J27" s="10" t="n"/>
      <c r="K27" s="10" t="n"/>
      <c r="L27" s="10" t="n"/>
      <c r="M27" s="25">
        <f>IF(OR(E27="",F27="",G27=""),"",E27*F27*G27/1000000000*IF(H27="",1,H27))</f>
        <v/>
      </c>
      <c r="N27" s="19">
        <f>IF(OR(E27="",F27=""),"",E27*F27/1000000*IF(H27="",1,H27))</f>
        <v/>
      </c>
      <c r="O27" s="14">
        <f>IF(E27="","",IF(K27&lt;&gt;"",K27,IF(AND(E27*F27*G27/1000000000&lt;LISTS!$F$4,MAX(E27,F27,G27)&lt;LISTS!$F$5),"D",IF(I27="N","C",IF(J27="Y","A-CURVED",IF(AND(MEDIAN(E27,F27,G27)&lt;=LISTS!$F$10,MAX(E27,F27,G27)&lt;=LISTS!$F$11),"B",IF(MAX(E27,F27,G27)&gt;=LISTS!$F$3,"A","B")))))))</f>
        <v/>
      </c>
      <c r="P27" s="14" t="n"/>
      <c r="Q27" s="14" t="n"/>
      <c r="R27" s="14">
        <f>IF(E27="","",IF(B27="","material?",IF(OR(F27="",G27=""),"size?",IF(I27="","exposed Y/N?",IF(H27="","qty?",IF(B27="OTHER","OTHER: no rate, price it under hardware","OK"))))))</f>
        <v/>
      </c>
      <c r="S27" s="12">
        <f t="array" ref="S27">IF(OR(O27="",M27=""),"",IF(B27="MERANTI",RATES!$C$45,IFERROR(INDEX(RATES!$C:$C,MATCH(B27&amp;"_"&amp;SUBSTITUTE(O27,"-CURVED","C"),RATES!$A:$A,0)),"rate?")))</f>
        <v/>
      </c>
      <c r="T27" s="12">
        <f>IF(ISNUMBER(S27),M27*S27,"")</f>
        <v/>
      </c>
    </row>
    <row r="28" ht="15.75" customHeight="1" s="59">
      <c r="A28" s="9" t="n">
        <v>11</v>
      </c>
      <c r="B28" s="10" t="n"/>
      <c r="C28" s="48" t="n"/>
      <c r="D28" s="10" t="n"/>
      <c r="E28" s="10" t="n"/>
      <c r="F28" s="10" t="n"/>
      <c r="G28" s="10" t="n"/>
      <c r="H28" s="10" t="n"/>
      <c r="I28" s="10" t="n"/>
      <c r="J28" s="10" t="n"/>
      <c r="K28" s="10" t="n"/>
      <c r="L28" s="10" t="n"/>
      <c r="M28" s="25">
        <f>IF(OR(E28="",F28="",G28=""),"",E28*F28*G28/1000000000*IF(H28="",1,H28))</f>
        <v/>
      </c>
      <c r="N28" s="19">
        <f>IF(OR(E28="",F28=""),"",E28*F28/1000000*IF(H28="",1,H28))</f>
        <v/>
      </c>
      <c r="O28" s="14">
        <f>IF(E28="","",IF(K28&lt;&gt;"",K28,IF(AND(E28*F28*G28/1000000000&lt;LISTS!$F$4,MAX(E28,F28,G28)&lt;LISTS!$F$5),"D",IF(I28="N","C",IF(J28="Y","A-CURVED",IF(AND(MEDIAN(E28,F28,G28)&lt;=LISTS!$F$10,MAX(E28,F28,G28)&lt;=LISTS!$F$11),"B",IF(MAX(E28,F28,G28)&gt;=LISTS!$F$3,"A","B")))))))</f>
        <v/>
      </c>
      <c r="P28" s="14" t="n"/>
      <c r="Q28" s="14" t="n"/>
      <c r="R28" s="14">
        <f>IF(E28="","",IF(B28="","material?",IF(OR(F28="",G28=""),"size?",IF(I28="","exposed Y/N?",IF(H28="","qty?",IF(B28="OTHER","OTHER: no rate, price it under hardware","OK"))))))</f>
        <v/>
      </c>
      <c r="S28" s="12">
        <f t="array" ref="S28">IF(OR(O28="",M28=""),"",IF(B28="MERANTI",RATES!$C$45,IFERROR(INDEX(RATES!$C:$C,MATCH(B28&amp;"_"&amp;SUBSTITUTE(O28,"-CURVED","C"),RATES!$A:$A,0)),"rate?")))</f>
        <v/>
      </c>
      <c r="T28" s="12">
        <f>IF(ISNUMBER(S28),M28*S28,"")</f>
        <v/>
      </c>
    </row>
    <row r="29" ht="15.75" customHeight="1" s="59">
      <c r="A29" s="9" t="n">
        <v>12</v>
      </c>
      <c r="B29" s="10" t="n"/>
      <c r="C29" s="48" t="n"/>
      <c r="D29" s="10" t="n"/>
      <c r="E29" s="10" t="n"/>
      <c r="F29" s="10" t="n"/>
      <c r="G29" s="10" t="n"/>
      <c r="H29" s="10" t="n"/>
      <c r="I29" s="10" t="n"/>
      <c r="J29" s="10" t="n"/>
      <c r="K29" s="10" t="n"/>
      <c r="L29" s="10" t="n"/>
      <c r="M29" s="25">
        <f>IF(OR(E29="",F29="",G29=""),"",E29*F29*G29/1000000000*IF(H29="",1,H29))</f>
        <v/>
      </c>
      <c r="N29" s="19">
        <f>IF(OR(E29="",F29=""),"",E29*F29/1000000*IF(H29="",1,H29))</f>
        <v/>
      </c>
      <c r="O29" s="14">
        <f>IF(E29="","",IF(K29&lt;&gt;"",K29,IF(AND(E29*F29*G29/1000000000&lt;LISTS!$F$4,MAX(E29,F29,G29)&lt;LISTS!$F$5),"D",IF(I29="N","C",IF(J29="Y","A-CURVED",IF(AND(MEDIAN(E29,F29,G29)&lt;=LISTS!$F$10,MAX(E29,F29,G29)&lt;=LISTS!$F$11),"B",IF(MAX(E29,F29,G29)&gt;=LISTS!$F$3,"A","B")))))))</f>
        <v/>
      </c>
      <c r="P29" s="14" t="n"/>
      <c r="Q29" s="14" t="n"/>
      <c r="R29" s="14">
        <f>IF(E29="","",IF(B29="","material?",IF(OR(F29="",G29=""),"size?",IF(I29="","exposed Y/N?",IF(H29="","qty?",IF(B29="OTHER","OTHER: no rate, price it under hardware","OK"))))))</f>
        <v/>
      </c>
      <c r="S29" s="12">
        <f t="array" ref="S29">IF(OR(O29="",M29=""),"",IF(B29="MERANTI",RATES!$C$45,IFERROR(INDEX(RATES!$C:$C,MATCH(B29&amp;"_"&amp;SUBSTITUTE(O29,"-CURVED","C"),RATES!$A:$A,0)),"rate?")))</f>
        <v/>
      </c>
      <c r="T29" s="12">
        <f>IF(ISNUMBER(S29),M29*S29,"")</f>
        <v/>
      </c>
    </row>
    <row r="30" ht="15.75" customHeight="1" s="59">
      <c r="A30" s="9" t="n">
        <v>13</v>
      </c>
      <c r="B30" s="10" t="n"/>
      <c r="C30" s="48" t="n"/>
      <c r="D30" s="10" t="n"/>
      <c r="E30" s="10" t="n"/>
      <c r="F30" s="10" t="n"/>
      <c r="G30" s="10" t="n"/>
      <c r="H30" s="10" t="n"/>
      <c r="I30" s="10" t="n"/>
      <c r="J30" s="10" t="n"/>
      <c r="K30" s="10" t="n"/>
      <c r="L30" s="10" t="n"/>
      <c r="M30" s="25">
        <f>IF(OR(E30="",F30="",G30=""),"",E30*F30*G30/1000000000*IF(H30="",1,H30))</f>
        <v/>
      </c>
      <c r="N30" s="19">
        <f>IF(OR(E30="",F30=""),"",E30*F30/1000000*IF(H30="",1,H30))</f>
        <v/>
      </c>
      <c r="O30" s="14">
        <f>IF(E30="","",IF(K30&lt;&gt;"",K30,IF(AND(E30*F30*G30/1000000000&lt;LISTS!$F$4,MAX(E30,F30,G30)&lt;LISTS!$F$5),"D",IF(I30="N","C",IF(J30="Y","A-CURVED",IF(AND(MEDIAN(E30,F30,G30)&lt;=LISTS!$F$10,MAX(E30,F30,G30)&lt;=LISTS!$F$11),"B",IF(MAX(E30,F30,G30)&gt;=LISTS!$F$3,"A","B")))))))</f>
        <v/>
      </c>
      <c r="P30" s="14" t="n"/>
      <c r="Q30" s="14" t="n"/>
      <c r="R30" s="14">
        <f>IF(E30="","",IF(B30="","material?",IF(OR(F30="",G30=""),"size?",IF(I30="","exposed Y/N?",IF(H30="","qty?",IF(B30="OTHER","OTHER: no rate, price it under hardware","OK"))))))</f>
        <v/>
      </c>
      <c r="S30" s="12">
        <f t="array" ref="S30">IF(OR(O30="",M30=""),"",IF(B30="MERANTI",RATES!$C$45,IFERROR(INDEX(RATES!$C:$C,MATCH(B30&amp;"_"&amp;SUBSTITUTE(O30,"-CURVED","C"),RATES!$A:$A,0)),"rate?")))</f>
        <v/>
      </c>
      <c r="T30" s="12">
        <f>IF(ISNUMBER(S30),M30*S30,"")</f>
        <v/>
      </c>
    </row>
    <row r="31" ht="15.75" customHeight="1" s="59">
      <c r="A31" s="9" t="n">
        <v>14</v>
      </c>
      <c r="B31" s="10" t="n"/>
      <c r="C31" s="48" t="n"/>
      <c r="D31" s="10" t="n"/>
      <c r="E31" s="10" t="n"/>
      <c r="F31" s="10" t="n"/>
      <c r="G31" s="10" t="n"/>
      <c r="H31" s="10" t="n"/>
      <c r="I31" s="10" t="n"/>
      <c r="J31" s="10" t="n"/>
      <c r="K31" s="10" t="n"/>
      <c r="L31" s="10" t="n"/>
      <c r="M31" s="25">
        <f>IF(OR(E31="",F31="",G31=""),"",E31*F31*G31/1000000000*IF(H31="",1,H31))</f>
        <v/>
      </c>
      <c r="N31" s="19">
        <f>IF(OR(E31="",F31=""),"",E31*F31/1000000*IF(H31="",1,H31))</f>
        <v/>
      </c>
      <c r="O31" s="14">
        <f>IF(E31="","",IF(K31&lt;&gt;"",K31,IF(AND(E31*F31*G31/1000000000&lt;LISTS!$F$4,MAX(E31,F31,G31)&lt;LISTS!$F$5),"D",IF(I31="N","C",IF(J31="Y","A-CURVED",IF(AND(MEDIAN(E31,F31,G31)&lt;=LISTS!$F$10,MAX(E31,F31,G31)&lt;=LISTS!$F$11),"B",IF(MAX(E31,F31,G31)&gt;=LISTS!$F$3,"A","B")))))))</f>
        <v/>
      </c>
      <c r="P31" s="14" t="n"/>
      <c r="Q31" s="14" t="n"/>
      <c r="R31" s="14">
        <f>IF(E31="","",IF(B31="","material?",IF(OR(F31="",G31=""),"size?",IF(I31="","exposed Y/N?",IF(H31="","qty?",IF(B31="OTHER","OTHER: no rate, price it under hardware","OK"))))))</f>
        <v/>
      </c>
      <c r="S31" s="12">
        <f t="array" ref="S31">IF(OR(O31="",M31=""),"",IF(B31="MERANTI",RATES!$C$45,IFERROR(INDEX(RATES!$C:$C,MATCH(B31&amp;"_"&amp;SUBSTITUTE(O31,"-CURVED","C"),RATES!$A:$A,0)),"rate?")))</f>
        <v/>
      </c>
      <c r="T31" s="12">
        <f>IF(ISNUMBER(S31),M31*S31,"")</f>
        <v/>
      </c>
    </row>
    <row r="32" ht="15.75" customHeight="1" s="59">
      <c r="A32" s="9" t="n">
        <v>15</v>
      </c>
      <c r="B32" s="10" t="n"/>
      <c r="C32" s="48" t="n"/>
      <c r="D32" s="10" t="n"/>
      <c r="E32" s="10" t="n"/>
      <c r="F32" s="10" t="n"/>
      <c r="G32" s="10" t="n"/>
      <c r="H32" s="10" t="n"/>
      <c r="I32" s="10" t="n"/>
      <c r="J32" s="10" t="n"/>
      <c r="K32" s="10" t="n"/>
      <c r="L32" s="10" t="n"/>
      <c r="M32" s="25">
        <f>IF(OR(E32="",F32="",G32=""),"",E32*F32*G32/1000000000*IF(H32="",1,H32))</f>
        <v/>
      </c>
      <c r="N32" s="19">
        <f>IF(OR(E32="",F32=""),"",E32*F32/1000000*IF(H32="",1,H32))</f>
        <v/>
      </c>
      <c r="O32" s="14">
        <f>IF(E32="","",IF(K32&lt;&gt;"",K32,IF(AND(E32*F32*G32/1000000000&lt;LISTS!$F$4,MAX(E32,F32,G32)&lt;LISTS!$F$5),"D",IF(I32="N","C",IF(J32="Y","A-CURVED",IF(AND(MEDIAN(E32,F32,G32)&lt;=LISTS!$F$10,MAX(E32,F32,G32)&lt;=LISTS!$F$11),"B",IF(MAX(E32,F32,G32)&gt;=LISTS!$F$3,"A","B")))))))</f>
        <v/>
      </c>
      <c r="P32" s="14" t="n"/>
      <c r="Q32" s="14" t="n"/>
      <c r="R32" s="14">
        <f>IF(E32="","",IF(B32="","material?",IF(OR(F32="",G32=""),"size?",IF(I32="","exposed Y/N?",IF(H32="","qty?",IF(B32="OTHER","OTHER: no rate, price it under hardware","OK"))))))</f>
        <v/>
      </c>
      <c r="S32" s="12">
        <f t="array" ref="S32">IF(OR(O32="",M32=""),"",IF(B32="MERANTI",RATES!$C$45,IFERROR(INDEX(RATES!$C:$C,MATCH(B32&amp;"_"&amp;SUBSTITUTE(O32,"-CURVED","C"),RATES!$A:$A,0)),"rate?")))</f>
        <v/>
      </c>
      <c r="T32" s="12">
        <f>IF(ISNUMBER(S32),M32*S32,"")</f>
        <v/>
      </c>
    </row>
    <row r="33" s="59">
      <c r="A33" s="133" t="inlineStr">
        <is>
          <t>METAL (hollow steel): one line per part, priced PER METRE from the RATES hollow list. MATERIAL = hollow code HOLLOW-&lt;a&gt;x&lt;b&gt;x&lt;wall&gt;, or METAL (= section W x T with RATES!HOLLOW_WALL)</t>
        </is>
      </c>
      <c r="B33" s="134" t="n"/>
      <c r="C33" s="134" t="n"/>
      <c r="D33" s="134" t="n"/>
      <c r="E33" s="134" t="n"/>
      <c r="F33" s="134" t="n"/>
      <c r="G33" s="134" t="n"/>
      <c r="H33" s="134" t="n"/>
      <c r="I33" s="134" t="n"/>
      <c r="J33" s="134" t="n"/>
      <c r="K33" s="134" t="n"/>
      <c r="L33" s="134" t="n"/>
      <c r="M33" s="134" t="n"/>
      <c r="N33" s="134" t="n"/>
      <c r="O33" s="134" t="n"/>
      <c r="P33" s="134" t="n"/>
      <c r="Q33" s="134" t="n"/>
      <c r="R33" s="134" t="n"/>
      <c r="S33" s="134" t="n"/>
      <c r="T33" s="134" t="n"/>
      <c r="U33" s="134" t="n"/>
    </row>
    <row r="34" ht="31.5" customHeight="1" s="59">
      <c r="A34" s="47" t="inlineStr">
        <is>
          <t>NO</t>
        </is>
      </c>
      <c r="B34" s="47" t="inlineStr">
        <is>
          <t>MATERIAL / HOLLOW CODE</t>
        </is>
      </c>
      <c r="C34" s="47" t="inlineStr">
        <is>
          <t>LABEL</t>
        </is>
      </c>
      <c r="D34" s="47" t="inlineStr">
        <is>
          <t>COMPONENT</t>
        </is>
      </c>
      <c r="E34" s="47" t="inlineStr">
        <is>
          <t>L mm</t>
        </is>
      </c>
      <c r="F34" s="47" t="inlineStr">
        <is>
          <t>W mm</t>
        </is>
      </c>
      <c r="G34" s="47" t="inlineStr">
        <is>
          <t>T mm</t>
        </is>
      </c>
      <c r="H34" s="47" t="inlineStr">
        <is>
          <t>QTY</t>
        </is>
      </c>
      <c r="I34" s="47" t="inlineStr">
        <is>
          <t>EXPOSED Y/N</t>
        </is>
      </c>
      <c r="J34" s="47" t="n"/>
      <c r="K34" s="47" t="n"/>
      <c r="L34" s="47" t="inlineStr">
        <is>
          <t>NOTE</t>
        </is>
      </c>
      <c r="M34" s="47" t="inlineStr">
        <is>
          <t>LENGTH m (calc)</t>
        </is>
      </c>
      <c r="N34" s="47" t="inlineStr">
        <is>
          <t>FACE m² (calc)</t>
        </is>
      </c>
      <c r="O34" s="47" t="inlineStr">
        <is>
          <t>CODE USED (calc)</t>
        </is>
      </c>
      <c r="P34" s="47" t="n"/>
      <c r="Q34" s="47" t="n"/>
      <c r="R34" s="47" t="inlineStr">
        <is>
          <t>CHECK (calc)</t>
        </is>
      </c>
      <c r="S34" s="47" t="inlineStr">
        <is>
          <t>RATE IDR/m (system)</t>
        </is>
      </c>
      <c r="T34" s="47" t="inlineStr">
        <is>
          <t>COST IDR (system)</t>
        </is>
      </c>
      <c r="U34" s="135" t="inlineStr">
        <is>
          <t>COST USD
(system)</t>
        </is>
      </c>
    </row>
    <row r="35" s="59">
      <c r="A35" s="9" t="n">
        <v>1</v>
      </c>
      <c r="B35" s="10" t="n"/>
      <c r="C35" s="48" t="n"/>
      <c r="D35" s="10" t="n"/>
      <c r="E35" s="10" t="n"/>
      <c r="F35" s="10" t="n"/>
      <c r="G35" s="10" t="n"/>
      <c r="H35" s="10" t="n"/>
      <c r="I35" s="10" t="n"/>
      <c r="J35" s="10" t="n"/>
      <c r="K35" s="10" t="n"/>
      <c r="L35" s="10" t="n"/>
      <c r="M35" s="19">
        <f>IF(E35="","",E35/1000*IF(H35="",1,H35))</f>
        <v/>
      </c>
      <c r="N35" s="19">
        <f>IF(OR(E35="",F35=""),"",E35*F35/1000000*IF(H35="",1,H35))</f>
        <v/>
      </c>
      <c r="O35" s="14">
        <f>IF(E35="","",IF(UPPER(B35)="METAL",IFERROR(IFERROR(INDEX(RATES!$A:$A,MATCH("HOLLOW-"&amp;MIN(F35,G35)&amp;"x"&amp;MAX(F35,G35)&amp;"x"&amp;SUBSTITUTE(RATES!$C$252&amp;"",",","."),RATES!$A:$A,0)),IFERROR(INDEX(RATES!$A:$A,MATCH("HOLLOW-"&amp;MIN(F35,G35)&amp;"x"&amp;MAX(F35,G35)&amp;"x"&amp;"1",RATES!$A:$A,0)),IFERROR(INDEX(RATES!$A:$A,MATCH("HOLLOW-"&amp;MIN(F35,G35)&amp;"x"&amp;MAX(F35,G35)&amp;"x"&amp;"1.2",RATES!$A:$A,0)),INDEX(RATES!$A:$A,MATCH("HOLLOW-"&amp;MIN(F35,G35)&amp;"x"&amp;MAX(F35,G35)&amp;"x"&amp;"1.5",RATES!$A:$A,0))))),"not in list"),IFERROR(INDEX(RATES!$A:$A,MATCH(IF(LEFT(UPPER(B35),7)="HOLLOW-",UPPER(B35),"HOLLOW-"&amp;B35),RATES!$A:$A,0)),"not in list")))</f>
        <v/>
      </c>
      <c r="P35" s="14" t="n"/>
      <c r="Q35" s="14" t="n"/>
      <c r="R35" s="14">
        <f>IF(E35="","",IF(B35="","material?",IF(OR(F35="",G35=""),"size?",IF(I35="","exposed Y/N?",IF(H35="","qty?",IF(O35="not in list","hollow code?","OK"))))))</f>
        <v/>
      </c>
      <c r="S35" s="136">
        <f>IF(E35="","",IFERROR(INDEX(RATES!$C:$C,MATCH(O35,RATES!$A:$A,0)),"rate?"))</f>
        <v/>
      </c>
      <c r="T35" s="136">
        <f>IF(AND(ISNUMBER(S35),ISNUMBER(M35)),M35*S35,"")</f>
        <v/>
      </c>
      <c r="U35" s="134">
        <f>IF(T35="","",T35/RATES!$C$172)</f>
        <v/>
      </c>
    </row>
    <row r="36" s="59">
      <c r="A36" s="9" t="n">
        <v>2</v>
      </c>
      <c r="B36" s="10" t="n"/>
      <c r="C36" s="48" t="n"/>
      <c r="D36" s="10" t="n"/>
      <c r="E36" s="10" t="n"/>
      <c r="F36" s="10" t="n"/>
      <c r="G36" s="10" t="n"/>
      <c r="H36" s="10" t="n"/>
      <c r="I36" s="10" t="n"/>
      <c r="J36" s="10" t="n"/>
      <c r="K36" s="10" t="n"/>
      <c r="L36" s="10" t="n"/>
      <c r="M36" s="19">
        <f>IF(E36="","",E36/1000*IF(H36="",1,H36))</f>
        <v/>
      </c>
      <c r="N36" s="19">
        <f>IF(OR(E36="",F36=""),"",E36*F36/1000000*IF(H36="",1,H36))</f>
        <v/>
      </c>
      <c r="O36" s="14">
        <f>IF(E36="","",IF(UPPER(B36)="METAL",IFERROR(IFERROR(INDEX(RATES!$A:$A,MATCH("HOLLOW-"&amp;MIN(F36,G36)&amp;"x"&amp;MAX(F36,G36)&amp;"x"&amp;SUBSTITUTE(RATES!$C$252&amp;"",",","."),RATES!$A:$A,0)),IFERROR(INDEX(RATES!$A:$A,MATCH("HOLLOW-"&amp;MIN(F36,G36)&amp;"x"&amp;MAX(F36,G36)&amp;"x"&amp;"1",RATES!$A:$A,0)),IFERROR(INDEX(RATES!$A:$A,MATCH("HOLLOW-"&amp;MIN(F36,G36)&amp;"x"&amp;MAX(F36,G36)&amp;"x"&amp;"1.2",RATES!$A:$A,0)),INDEX(RATES!$A:$A,MATCH("HOLLOW-"&amp;MIN(F36,G36)&amp;"x"&amp;MAX(F36,G36)&amp;"x"&amp;"1.5",RATES!$A:$A,0))))),"not in list"),IFERROR(INDEX(RATES!$A:$A,MATCH(IF(LEFT(UPPER(B36),7)="HOLLOW-",UPPER(B36),"HOLLOW-"&amp;B36),RATES!$A:$A,0)),"not in list")))</f>
        <v/>
      </c>
      <c r="P36" s="14" t="n"/>
      <c r="Q36" s="14" t="n"/>
      <c r="R36" s="14">
        <f>IF(E36="","",IF(B36="","material?",IF(OR(F36="",G36=""),"size?",IF(I36="","exposed Y/N?",IF(H36="","qty?",IF(O36="not in list","hollow code?","OK"))))))</f>
        <v/>
      </c>
      <c r="S36" s="136">
        <f>IF(E36="","",IFERROR(INDEX(RATES!$C:$C,MATCH(O36,RATES!$A:$A,0)),"rate?"))</f>
        <v/>
      </c>
      <c r="T36" s="136">
        <f>IF(AND(ISNUMBER(S36),ISNUMBER(M36)),M36*S36,"")</f>
        <v/>
      </c>
      <c r="U36" s="134">
        <f>IF(T36="","",T36/RATES!$C$172)</f>
        <v/>
      </c>
    </row>
    <row r="37" s="59">
      <c r="A37" s="9" t="n">
        <v>3</v>
      </c>
      <c r="B37" s="10" t="n"/>
      <c r="C37" s="48" t="n"/>
      <c r="D37" s="10" t="n"/>
      <c r="E37" s="10" t="n"/>
      <c r="F37" s="10" t="n"/>
      <c r="G37" s="10" t="n"/>
      <c r="H37" s="10" t="n"/>
      <c r="I37" s="10" t="n"/>
      <c r="J37" s="10" t="n"/>
      <c r="K37" s="10" t="n"/>
      <c r="L37" s="10" t="n"/>
      <c r="M37" s="19">
        <f>IF(E37="","",E37/1000*IF(H37="",1,H37))</f>
        <v/>
      </c>
      <c r="N37" s="19">
        <f>IF(OR(E37="",F37=""),"",E37*F37/1000000*IF(H37="",1,H37))</f>
        <v/>
      </c>
      <c r="O37" s="14">
        <f>IF(E37="","",IF(UPPER(B37)="METAL",IFERROR(IFERROR(INDEX(RATES!$A:$A,MATCH("HOLLOW-"&amp;MIN(F37,G37)&amp;"x"&amp;MAX(F37,G37)&amp;"x"&amp;SUBSTITUTE(RATES!$C$252&amp;"",",","."),RATES!$A:$A,0)),IFERROR(INDEX(RATES!$A:$A,MATCH("HOLLOW-"&amp;MIN(F37,G37)&amp;"x"&amp;MAX(F37,G37)&amp;"x"&amp;"1",RATES!$A:$A,0)),IFERROR(INDEX(RATES!$A:$A,MATCH("HOLLOW-"&amp;MIN(F37,G37)&amp;"x"&amp;MAX(F37,G37)&amp;"x"&amp;"1.2",RATES!$A:$A,0)),INDEX(RATES!$A:$A,MATCH("HOLLOW-"&amp;MIN(F37,G37)&amp;"x"&amp;MAX(F37,G37)&amp;"x"&amp;"1.5",RATES!$A:$A,0))))),"not in list"),IFERROR(INDEX(RATES!$A:$A,MATCH(IF(LEFT(UPPER(B37),7)="HOLLOW-",UPPER(B37),"HOLLOW-"&amp;B37),RATES!$A:$A,0)),"not in list")))</f>
        <v/>
      </c>
      <c r="P37" s="14" t="n"/>
      <c r="Q37" s="14" t="n"/>
      <c r="R37" s="14">
        <f>IF(E37="","",IF(B37="","material?",IF(OR(F37="",G37=""),"size?",IF(I37="","exposed Y/N?",IF(H37="","qty?",IF(O37="not in list","hollow code?","OK"))))))</f>
        <v/>
      </c>
      <c r="S37" s="136">
        <f>IF(E37="","",IFERROR(INDEX(RATES!$C:$C,MATCH(O37,RATES!$A:$A,0)),"rate?"))</f>
        <v/>
      </c>
      <c r="T37" s="136">
        <f>IF(AND(ISNUMBER(S37),ISNUMBER(M37)),M37*S37,"")</f>
        <v/>
      </c>
      <c r="U37" s="134">
        <f>IF(T37="","",T37/RATES!$C$172)</f>
        <v/>
      </c>
    </row>
    <row r="38" s="59">
      <c r="A38" s="9" t="n">
        <v>4</v>
      </c>
      <c r="B38" s="10" t="n"/>
      <c r="C38" s="48" t="n"/>
      <c r="D38" s="10" t="n"/>
      <c r="E38" s="10" t="n"/>
      <c r="F38" s="10" t="n"/>
      <c r="G38" s="10" t="n"/>
      <c r="H38" s="10" t="n"/>
      <c r="I38" s="10" t="n"/>
      <c r="J38" s="10" t="n"/>
      <c r="K38" s="10" t="n"/>
      <c r="L38" s="10" t="n"/>
      <c r="M38" s="19">
        <f>IF(E38="","",E38/1000*IF(H38="",1,H38))</f>
        <v/>
      </c>
      <c r="N38" s="19">
        <f>IF(OR(E38="",F38=""),"",E38*F38/1000000*IF(H38="",1,H38))</f>
        <v/>
      </c>
      <c r="O38" s="14">
        <f>IF(E38="","",IF(UPPER(B38)="METAL",IFERROR(IFERROR(INDEX(RATES!$A:$A,MATCH("HOLLOW-"&amp;MIN(F38,G38)&amp;"x"&amp;MAX(F38,G38)&amp;"x"&amp;SUBSTITUTE(RATES!$C$252&amp;"",",","."),RATES!$A:$A,0)),IFERROR(INDEX(RATES!$A:$A,MATCH("HOLLOW-"&amp;MIN(F38,G38)&amp;"x"&amp;MAX(F38,G38)&amp;"x"&amp;"1",RATES!$A:$A,0)),IFERROR(INDEX(RATES!$A:$A,MATCH("HOLLOW-"&amp;MIN(F38,G38)&amp;"x"&amp;MAX(F38,G38)&amp;"x"&amp;"1.2",RATES!$A:$A,0)),INDEX(RATES!$A:$A,MATCH("HOLLOW-"&amp;MIN(F38,G38)&amp;"x"&amp;MAX(F38,G38)&amp;"x"&amp;"1.5",RATES!$A:$A,0))))),"not in list"),IFERROR(INDEX(RATES!$A:$A,MATCH(IF(LEFT(UPPER(B38),7)="HOLLOW-",UPPER(B38),"HOLLOW-"&amp;B38),RATES!$A:$A,0)),"not in list")))</f>
        <v/>
      </c>
      <c r="P38" s="14" t="n"/>
      <c r="Q38" s="14" t="n"/>
      <c r="R38" s="14">
        <f>IF(E38="","",IF(B38="","material?",IF(OR(F38="",G38=""),"size?",IF(I38="","exposed Y/N?",IF(H38="","qty?",IF(O38="not in list","hollow code?","OK"))))))</f>
        <v/>
      </c>
      <c r="S38" s="136">
        <f>IF(E38="","",IFERROR(INDEX(RATES!$C:$C,MATCH(O38,RATES!$A:$A,0)),"rate?"))</f>
        <v/>
      </c>
      <c r="T38" s="136">
        <f>IF(AND(ISNUMBER(S38),ISNUMBER(M38)),M38*S38,"")</f>
        <v/>
      </c>
      <c r="U38" s="134">
        <f>IF(T38="","",T38/RATES!$C$172)</f>
        <v/>
      </c>
    </row>
    <row r="39" s="59">
      <c r="A39" s="9" t="n">
        <v>5</v>
      </c>
      <c r="B39" s="10" t="n"/>
      <c r="C39" s="48" t="n"/>
      <c r="D39" s="10" t="n"/>
      <c r="E39" s="10" t="n"/>
      <c r="F39" s="10" t="n"/>
      <c r="G39" s="10" t="n"/>
      <c r="H39" s="10" t="n"/>
      <c r="I39" s="10" t="n"/>
      <c r="J39" s="10" t="n"/>
      <c r="K39" s="10" t="n"/>
      <c r="L39" s="10" t="n"/>
      <c r="M39" s="19">
        <f>IF(E39="","",E39/1000*IF(H39="",1,H39))</f>
        <v/>
      </c>
      <c r="N39" s="19">
        <f>IF(OR(E39="",F39=""),"",E39*F39/1000000*IF(H39="",1,H39))</f>
        <v/>
      </c>
      <c r="O39" s="14">
        <f>IF(E39="","",IF(UPPER(B39)="METAL",IFERROR(IFERROR(INDEX(RATES!$A:$A,MATCH("HOLLOW-"&amp;MIN(F39,G39)&amp;"x"&amp;MAX(F39,G39)&amp;"x"&amp;SUBSTITUTE(RATES!$C$252&amp;"",",","."),RATES!$A:$A,0)),IFERROR(INDEX(RATES!$A:$A,MATCH("HOLLOW-"&amp;MIN(F39,G39)&amp;"x"&amp;MAX(F39,G39)&amp;"x"&amp;"1",RATES!$A:$A,0)),IFERROR(INDEX(RATES!$A:$A,MATCH("HOLLOW-"&amp;MIN(F39,G39)&amp;"x"&amp;MAX(F39,G39)&amp;"x"&amp;"1.2",RATES!$A:$A,0)),INDEX(RATES!$A:$A,MATCH("HOLLOW-"&amp;MIN(F39,G39)&amp;"x"&amp;MAX(F39,G39)&amp;"x"&amp;"1.5",RATES!$A:$A,0))))),"not in list"),IFERROR(INDEX(RATES!$A:$A,MATCH(IF(LEFT(UPPER(B39),7)="HOLLOW-",UPPER(B39),"HOLLOW-"&amp;B39),RATES!$A:$A,0)),"not in list")))</f>
        <v/>
      </c>
      <c r="P39" s="14" t="n"/>
      <c r="Q39" s="14" t="n"/>
      <c r="R39" s="14">
        <f>IF(E39="","",IF(B39="","material?",IF(OR(F39="",G39=""),"size?",IF(I39="","exposed Y/N?",IF(H39="","qty?",IF(O39="not in list","hollow code?","OK"))))))</f>
        <v/>
      </c>
      <c r="S39" s="136">
        <f>IF(E39="","",IFERROR(INDEX(RATES!$C:$C,MATCH(O39,RATES!$A:$A,0)),"rate?"))</f>
        <v/>
      </c>
      <c r="T39" s="136">
        <f>IF(AND(ISNUMBER(S39),ISNUMBER(M39)),M39*S39,"")</f>
        <v/>
      </c>
      <c r="U39" s="134">
        <f>IF(T39="","",T39/RATES!$C$172)</f>
        <v/>
      </c>
    </row>
    <row r="40" s="59">
      <c r="A40" s="9" t="n">
        <v>6</v>
      </c>
      <c r="B40" s="10" t="n"/>
      <c r="C40" s="48" t="n"/>
      <c r="D40" s="10" t="n"/>
      <c r="E40" s="10" t="n"/>
      <c r="F40" s="10" t="n"/>
      <c r="G40" s="10" t="n"/>
      <c r="H40" s="10" t="n"/>
      <c r="I40" s="10" t="n"/>
      <c r="J40" s="10" t="n"/>
      <c r="K40" s="10" t="n"/>
      <c r="L40" s="10" t="n"/>
      <c r="M40" s="19">
        <f>IF(E40="","",E40/1000*IF(H40="",1,H40))</f>
        <v/>
      </c>
      <c r="N40" s="19">
        <f>IF(OR(E40="",F40=""),"",E40*F40/1000000*IF(H40="",1,H40))</f>
        <v/>
      </c>
      <c r="O40" s="14">
        <f>IF(E40="","",IF(UPPER(B40)="METAL",IFERROR(IFERROR(INDEX(RATES!$A:$A,MATCH("HOLLOW-"&amp;MIN(F40,G40)&amp;"x"&amp;MAX(F40,G40)&amp;"x"&amp;SUBSTITUTE(RATES!$C$252&amp;"",",","."),RATES!$A:$A,0)),IFERROR(INDEX(RATES!$A:$A,MATCH("HOLLOW-"&amp;MIN(F40,G40)&amp;"x"&amp;MAX(F40,G40)&amp;"x"&amp;"1",RATES!$A:$A,0)),IFERROR(INDEX(RATES!$A:$A,MATCH("HOLLOW-"&amp;MIN(F40,G40)&amp;"x"&amp;MAX(F40,G40)&amp;"x"&amp;"1.2",RATES!$A:$A,0)),INDEX(RATES!$A:$A,MATCH("HOLLOW-"&amp;MIN(F40,G40)&amp;"x"&amp;MAX(F40,G40)&amp;"x"&amp;"1.5",RATES!$A:$A,0))))),"not in list"),IFERROR(INDEX(RATES!$A:$A,MATCH(IF(LEFT(UPPER(B40),7)="HOLLOW-",UPPER(B40),"HOLLOW-"&amp;B40),RATES!$A:$A,0)),"not in list")))</f>
        <v/>
      </c>
      <c r="P40" s="14" t="n"/>
      <c r="Q40" s="14" t="n"/>
      <c r="R40" s="14">
        <f>IF(E40="","",IF(B40="","material?",IF(OR(F40="",G40=""),"size?",IF(I40="","exposed Y/N?",IF(H40="","qty?",IF(O40="not in list","hollow code?","OK"))))))</f>
        <v/>
      </c>
      <c r="S40" s="136">
        <f>IF(E40="","",IFERROR(INDEX(RATES!$C:$C,MATCH(O40,RATES!$A:$A,0)),"rate?"))</f>
        <v/>
      </c>
      <c r="T40" s="136">
        <f>IF(AND(ISNUMBER(S40),ISNUMBER(M40)),M40*S40,"")</f>
        <v/>
      </c>
      <c r="U40" s="134">
        <f>IF(T40="","",T40/RATES!$C$172)</f>
        <v/>
      </c>
    </row>
    <row r="41" s="59">
      <c r="A41" s="9" t="n">
        <v>7</v>
      </c>
      <c r="B41" s="10" t="n"/>
      <c r="C41" s="48" t="n"/>
      <c r="D41" s="10" t="n"/>
      <c r="E41" s="10" t="n"/>
      <c r="F41" s="10" t="n"/>
      <c r="G41" s="10" t="n"/>
      <c r="H41" s="10" t="n"/>
      <c r="I41" s="10" t="n"/>
      <c r="J41" s="10" t="n"/>
      <c r="K41" s="10" t="n"/>
      <c r="L41" s="10" t="n"/>
      <c r="M41" s="19">
        <f>IF(E41="","",E41/1000*IF(H41="",1,H41))</f>
        <v/>
      </c>
      <c r="N41" s="19">
        <f>IF(OR(E41="",F41=""),"",E41*F41/1000000*IF(H41="",1,H41))</f>
        <v/>
      </c>
      <c r="O41" s="14">
        <f>IF(E41="","",IF(UPPER(B41)="METAL",IFERROR(IFERROR(INDEX(RATES!$A:$A,MATCH("HOLLOW-"&amp;MIN(F41,G41)&amp;"x"&amp;MAX(F41,G41)&amp;"x"&amp;SUBSTITUTE(RATES!$C$252&amp;"",",","."),RATES!$A:$A,0)),IFERROR(INDEX(RATES!$A:$A,MATCH("HOLLOW-"&amp;MIN(F41,G41)&amp;"x"&amp;MAX(F41,G41)&amp;"x"&amp;"1",RATES!$A:$A,0)),IFERROR(INDEX(RATES!$A:$A,MATCH("HOLLOW-"&amp;MIN(F41,G41)&amp;"x"&amp;MAX(F41,G41)&amp;"x"&amp;"1.2",RATES!$A:$A,0)),INDEX(RATES!$A:$A,MATCH("HOLLOW-"&amp;MIN(F41,G41)&amp;"x"&amp;MAX(F41,G41)&amp;"x"&amp;"1.5",RATES!$A:$A,0))))),"not in list"),IFERROR(INDEX(RATES!$A:$A,MATCH(IF(LEFT(UPPER(B41),7)="HOLLOW-",UPPER(B41),"HOLLOW-"&amp;B41),RATES!$A:$A,0)),"not in list")))</f>
        <v/>
      </c>
      <c r="P41" s="14" t="n"/>
      <c r="Q41" s="14" t="n"/>
      <c r="R41" s="14">
        <f>IF(E41="","",IF(B41="","material?",IF(OR(F41="",G41=""),"size?",IF(I41="","exposed Y/N?",IF(H41="","qty?",IF(O41="not in list","hollow code?","OK"))))))</f>
        <v/>
      </c>
      <c r="S41" s="136">
        <f>IF(E41="","",IFERROR(INDEX(RATES!$C:$C,MATCH(O41,RATES!$A:$A,0)),"rate?"))</f>
        <v/>
      </c>
      <c r="T41" s="136">
        <f>IF(AND(ISNUMBER(S41),ISNUMBER(M41)),M41*S41,"")</f>
        <v/>
      </c>
      <c r="U41" s="134">
        <f>IF(T41="","",T41/RATES!$C$172)</f>
        <v/>
      </c>
    </row>
    <row r="42" s="59">
      <c r="A42" s="9" t="n">
        <v>8</v>
      </c>
      <c r="B42" s="10" t="n"/>
      <c r="C42" s="48" t="n"/>
      <c r="D42" s="10" t="n"/>
      <c r="E42" s="10" t="n"/>
      <c r="F42" s="10" t="n"/>
      <c r="G42" s="10" t="n"/>
      <c r="H42" s="10" t="n"/>
      <c r="I42" s="10" t="n"/>
      <c r="J42" s="10" t="n"/>
      <c r="K42" s="10" t="n"/>
      <c r="L42" s="10" t="n"/>
      <c r="M42" s="19">
        <f>IF(E42="","",E42/1000*IF(H42="",1,H42))</f>
        <v/>
      </c>
      <c r="N42" s="19">
        <f>IF(OR(E42="",F42=""),"",E42*F42/1000000*IF(H42="",1,H42))</f>
        <v/>
      </c>
      <c r="O42" s="14">
        <f>IF(E42="","",IF(UPPER(B42)="METAL",IFERROR(IFERROR(INDEX(RATES!$A:$A,MATCH("HOLLOW-"&amp;MIN(F42,G42)&amp;"x"&amp;MAX(F42,G42)&amp;"x"&amp;SUBSTITUTE(RATES!$C$252&amp;"",",","."),RATES!$A:$A,0)),IFERROR(INDEX(RATES!$A:$A,MATCH("HOLLOW-"&amp;MIN(F42,G42)&amp;"x"&amp;MAX(F42,G42)&amp;"x"&amp;"1",RATES!$A:$A,0)),IFERROR(INDEX(RATES!$A:$A,MATCH("HOLLOW-"&amp;MIN(F42,G42)&amp;"x"&amp;MAX(F42,G42)&amp;"x"&amp;"1.2",RATES!$A:$A,0)),INDEX(RATES!$A:$A,MATCH("HOLLOW-"&amp;MIN(F42,G42)&amp;"x"&amp;MAX(F42,G42)&amp;"x"&amp;"1.5",RATES!$A:$A,0))))),"not in list"),IFERROR(INDEX(RATES!$A:$A,MATCH(IF(LEFT(UPPER(B42),7)="HOLLOW-",UPPER(B42),"HOLLOW-"&amp;B42),RATES!$A:$A,0)),"not in list")))</f>
        <v/>
      </c>
      <c r="P42" s="14" t="n"/>
      <c r="Q42" s="14" t="n"/>
      <c r="R42" s="14">
        <f>IF(E42="","",IF(B42="","material?",IF(OR(F42="",G42=""),"size?",IF(I42="","exposed Y/N?",IF(H42="","qty?",IF(O42="not in list","hollow code?","OK"))))))</f>
        <v/>
      </c>
      <c r="S42" s="136">
        <f>IF(E42="","",IFERROR(INDEX(RATES!$C:$C,MATCH(O42,RATES!$A:$A,0)),"rate?"))</f>
        <v/>
      </c>
      <c r="T42" s="136">
        <f>IF(AND(ISNUMBER(S42),ISNUMBER(M42)),M42*S42,"")</f>
        <v/>
      </c>
      <c r="U42" s="134">
        <f>IF(T42="","",T42/RATES!$C$172)</f>
        <v/>
      </c>
    </row>
    <row r="43" ht="15.75" customHeight="1" s="59"/>
    <row r="44" ht="15.75" customHeight="1" s="59">
      <c r="A44" s="5" t="inlineStr">
        <is>
          <t>PANELS: one line per panel, L × W in mm, T = board thickness, qty per item. No size (round, oversize, laminated): enter SHEETS (manual)</t>
        </is>
      </c>
    </row>
    <row r="45" ht="31.5" customHeight="1" s="59">
      <c r="A45" s="8" t="inlineStr">
        <is>
          <t>NO</t>
        </is>
      </c>
      <c r="B45" s="8" t="inlineStr">
        <is>
          <t>PANEL TYPE</t>
        </is>
      </c>
      <c r="C45" s="47" t="inlineStr">
        <is>
          <t>LABEL</t>
        </is>
      </c>
      <c r="D45" s="8" t="inlineStr">
        <is>
          <t>COMPONENT</t>
        </is>
      </c>
      <c r="E45" s="8" t="inlineStr">
        <is>
          <t>L mm</t>
        </is>
      </c>
      <c r="F45" s="8" t="inlineStr">
        <is>
          <t>W mm</t>
        </is>
      </c>
      <c r="G45" s="8" t="inlineStr">
        <is>
          <t>T mm</t>
        </is>
      </c>
      <c r="H45" s="8" t="inlineStr">
        <is>
          <t>QTY</t>
        </is>
      </c>
      <c r="I45" s="8" t="inlineStr">
        <is>
          <t>EXPOSED FACES (0/1/2)</t>
        </is>
      </c>
      <c r="J45" s="8" t="n"/>
      <c r="K45" s="8" t="inlineStr">
        <is>
          <t>SHEETS (manual)</t>
        </is>
      </c>
      <c r="L45" s="8" t="inlineStr">
        <is>
          <t>NOTE</t>
        </is>
      </c>
      <c r="M45" s="8" t="inlineStr">
        <is>
          <t>VOL m³ (calc)</t>
        </is>
      </c>
      <c r="N45" s="8" t="inlineStr">
        <is>
          <t>FACE m² (calc)</t>
        </is>
      </c>
      <c r="O45" s="8" t="inlineStr">
        <is>
          <t>PIECES/SHEET (calc)</t>
        </is>
      </c>
      <c r="P45" s="8" t="inlineStr">
        <is>
          <t>SHEETS (calc)</t>
        </is>
      </c>
      <c r="Q45" s="8" t="inlineStr">
        <is>
          <t>WASTE % (calc)</t>
        </is>
      </c>
      <c r="R45" s="8" t="inlineStr">
        <is>
          <t>CHECK (calc)</t>
        </is>
      </c>
      <c r="S45" s="8" t="inlineStr">
        <is>
          <t>RATE (system)</t>
        </is>
      </c>
      <c r="T45" s="8" t="inlineStr">
        <is>
          <t>COST IDR (system)</t>
        </is>
      </c>
      <c r="U45" s="90" t="inlineStr">
        <is>
          <t>COST USD
(system)</t>
        </is>
      </c>
    </row>
    <row r="46" ht="15.75" customHeight="1" s="59">
      <c r="A46" s="9" t="n">
        <v>1</v>
      </c>
      <c r="B46" s="10" t="n"/>
      <c r="C46" s="48" t="n"/>
      <c r="D46" s="10" t="n"/>
      <c r="E46" s="10" t="n"/>
      <c r="F46" s="10" t="n"/>
      <c r="G46" s="10" t="n"/>
      <c r="H46" s="10" t="n"/>
      <c r="I46" s="10" t="n"/>
      <c r="J46" s="10" t="n"/>
      <c r="K46" s="10" t="n"/>
      <c r="L46" s="10" t="n"/>
      <c r="M46" s="25">
        <f>IF(OR(E46="",F46="",G46=""),"",E46*F46*G46/1000000000*IF(H46="",1,H46))</f>
        <v/>
      </c>
      <c r="N46" s="19">
        <f>IF(OR(E46="",F46=""),"",E46*F46/1000000*IF(H46="",1,H46))</f>
        <v/>
      </c>
      <c r="O46" s="14">
        <f>IF(OR(E46="",F46=""),"",MAX(INT(LISTS!$F$6/(E46+LISTS!$F$8))*INT(LISTS!$F$7/(F46+LISTS!$F$8)),INT(LISTS!$F$6/(F46+LISTS!$F$8))*INT(LISTS!$F$7/(E46+LISTS!$F$8))))</f>
        <v/>
      </c>
      <c r="P46" s="19">
        <f>IF(K46&lt;&gt;"",K46,IF(OR(O46="",O46=0),"",IF(H46="",1,H46)/O46))</f>
        <v/>
      </c>
      <c r="Q46" s="36">
        <f>IF(OR(K46&lt;&gt;"",P46=""),"",1-(IF(H46="",1,H46)*E46*F46)/(ROUNDUP(P46,0)*LISTS!$F$6*LISTS!$F$7))</f>
        <v/>
      </c>
      <c r="R46" s="14">
        <f>IF(AND(E46="",K46=""),"",IF(B46="","panel type?",IF(AND(K46="",O46=0),"panel bigger than sheet",IF(AND(G46&lt;&gt;"",ISERROR(FIND("-"&amp;G46,B46))),"T must match panel type",IF(I46="","exposed faces?","OK")))))</f>
        <v/>
      </c>
      <c r="S46" s="12">
        <f t="array" ref="S46">IF(OR(B46="",P46=""),"",IFERROR(INDEX(RATES!$C:$C,MATCH(B46,RATES!$A:$A,0)),"rate?"))</f>
        <v/>
      </c>
      <c r="T46" s="12">
        <f>IF(ISNUMBER(S46),IF(K46&lt;&gt;"",K46,IF(Q46&gt;RATES!$C$97,P46*(1+RATES!$C$98),ROUNDUP(P46,0)))*S46,"")</f>
        <v/>
      </c>
    </row>
    <row r="47" ht="15.75" customHeight="1" s="59">
      <c r="A47" s="9" t="n">
        <v>2</v>
      </c>
      <c r="B47" s="10" t="n"/>
      <c r="C47" s="48" t="n"/>
      <c r="D47" s="10" t="n"/>
      <c r="E47" s="10" t="n"/>
      <c r="F47" s="10" t="n"/>
      <c r="G47" s="10" t="n"/>
      <c r="H47" s="10" t="n"/>
      <c r="I47" s="10" t="n"/>
      <c r="J47" s="10" t="n"/>
      <c r="K47" s="10" t="n"/>
      <c r="L47" s="10" t="n"/>
      <c r="M47" s="25">
        <f>IF(OR(E47="",F47="",G47=""),"",E47*F47*G47/1000000000*IF(H47="",1,H47))</f>
        <v/>
      </c>
      <c r="N47" s="19">
        <f>IF(OR(E47="",F47=""),"",E47*F47/1000000*IF(H47="",1,H47))</f>
        <v/>
      </c>
      <c r="O47" s="14">
        <f>IF(OR(E47="",F47=""),"",MAX(INT(LISTS!$F$6/(E47+LISTS!$F$8))*INT(LISTS!$F$7/(F47+LISTS!$F$8)),INT(LISTS!$F$6/(F47+LISTS!$F$8))*INT(LISTS!$F$7/(E47+LISTS!$F$8))))</f>
        <v/>
      </c>
      <c r="P47" s="19">
        <f>IF(K47&lt;&gt;"",K47,IF(OR(O47="",O47=0),"",IF(H47="",1,H47)/O47))</f>
        <v/>
      </c>
      <c r="Q47" s="36">
        <f>IF(OR(K47&lt;&gt;"",P47=""),"",1-(IF(H47="",1,H47)*E47*F47)/(ROUNDUP(P47,0)*LISTS!$F$6*LISTS!$F$7))</f>
        <v/>
      </c>
      <c r="R47" s="14">
        <f>IF(AND(E47="",K47=""),"",IF(B47="","panel type?",IF(AND(K47="",O47=0),"panel bigger than sheet",IF(AND(G47&lt;&gt;"",ISERROR(FIND("-"&amp;G47,B47))),"T must match panel type",IF(I47="","exposed faces?","OK")))))</f>
        <v/>
      </c>
      <c r="S47" s="12">
        <f t="array" ref="S47">IF(OR(B47="",P47=""),"",IFERROR(INDEX(RATES!$C:$C,MATCH(B47,RATES!$A:$A,0)),"rate?"))</f>
        <v/>
      </c>
      <c r="T47" s="12">
        <f>IF(ISNUMBER(S47),IF(K47&lt;&gt;"",K47,IF(Q47&gt;RATES!$C$97,P47*(1+RATES!$C$98),ROUNDUP(P47,0)))*S47,"")</f>
        <v/>
      </c>
    </row>
    <row r="48" ht="15.75" customHeight="1" s="59">
      <c r="A48" s="9" t="n">
        <v>3</v>
      </c>
      <c r="B48" s="10" t="n"/>
      <c r="C48" s="48" t="n"/>
      <c r="D48" s="10" t="n"/>
      <c r="E48" s="10" t="n"/>
      <c r="F48" s="10" t="n"/>
      <c r="G48" s="10" t="n"/>
      <c r="H48" s="10" t="n"/>
      <c r="I48" s="10" t="n"/>
      <c r="J48" s="10" t="n"/>
      <c r="K48" s="10" t="n"/>
      <c r="L48" s="10" t="n"/>
      <c r="M48" s="25">
        <f>IF(OR(E48="",F48="",G48=""),"",E48*F48*G48/1000000000*IF(H48="",1,H48))</f>
        <v/>
      </c>
      <c r="N48" s="19">
        <f>IF(OR(E48="",F48=""),"",E48*F48/1000000*IF(H48="",1,H48))</f>
        <v/>
      </c>
      <c r="O48" s="14">
        <f>IF(OR(E48="",F48=""),"",MAX(INT(LISTS!$F$6/(E48+LISTS!$F$8))*INT(LISTS!$F$7/(F48+LISTS!$F$8)),INT(LISTS!$F$6/(F48+LISTS!$F$8))*INT(LISTS!$F$7/(E48+LISTS!$F$8))))</f>
        <v/>
      </c>
      <c r="P48" s="19">
        <f>IF(K48&lt;&gt;"",K48,IF(OR(O48="",O48=0),"",IF(H48="",1,H48)/O48))</f>
        <v/>
      </c>
      <c r="Q48" s="36">
        <f>IF(OR(K48&lt;&gt;"",P48=""),"",1-(IF(H48="",1,H48)*E48*F48)/(ROUNDUP(P48,0)*LISTS!$F$6*LISTS!$F$7))</f>
        <v/>
      </c>
      <c r="R48" s="14">
        <f>IF(AND(E48="",K48=""),"",IF(B48="","panel type?",IF(AND(K48="",O48=0),"panel bigger than sheet",IF(AND(G48&lt;&gt;"",ISERROR(FIND("-"&amp;G48,B48))),"T must match panel type",IF(I48="","exposed faces?","OK")))))</f>
        <v/>
      </c>
      <c r="S48" s="12">
        <f t="array" ref="S48">IF(OR(B48="",P48=""),"",IFERROR(INDEX(RATES!$C:$C,MATCH(B48,RATES!$A:$A,0)),"rate?"))</f>
        <v/>
      </c>
      <c r="T48" s="12">
        <f>IF(ISNUMBER(S48),IF(K48&lt;&gt;"",K48,IF(Q48&gt;RATES!$C$97,P48*(1+RATES!$C$98),ROUNDUP(P48,0)))*S48,"")</f>
        <v/>
      </c>
    </row>
    <row r="49" ht="15.75" customHeight="1" s="59">
      <c r="A49" s="9" t="n">
        <v>4</v>
      </c>
      <c r="B49" s="10" t="n"/>
      <c r="C49" s="48" t="n"/>
      <c r="D49" s="10" t="n"/>
      <c r="E49" s="10" t="n"/>
      <c r="F49" s="10" t="n"/>
      <c r="G49" s="10" t="n"/>
      <c r="H49" s="10" t="n"/>
      <c r="I49" s="10" t="n"/>
      <c r="J49" s="10" t="n"/>
      <c r="K49" s="10" t="n"/>
      <c r="L49" s="10" t="n"/>
      <c r="M49" s="25">
        <f>IF(OR(E49="",F49="",G49=""),"",E49*F49*G49/1000000000*IF(H49="",1,H49))</f>
        <v/>
      </c>
      <c r="N49" s="19">
        <f>IF(OR(E49="",F49=""),"",E49*F49/1000000*IF(H49="",1,H49))</f>
        <v/>
      </c>
      <c r="O49" s="14">
        <f>IF(OR(E49="",F49=""),"",MAX(INT(LISTS!$F$6/(E49+LISTS!$F$8))*INT(LISTS!$F$7/(F49+LISTS!$F$8)),INT(LISTS!$F$6/(F49+LISTS!$F$8))*INT(LISTS!$F$7/(E49+LISTS!$F$8))))</f>
        <v/>
      </c>
      <c r="P49" s="19">
        <f>IF(K49&lt;&gt;"",K49,IF(OR(O49="",O49=0),"",IF(H49="",1,H49)/O49))</f>
        <v/>
      </c>
      <c r="Q49" s="36">
        <f>IF(OR(K49&lt;&gt;"",P49=""),"",1-(IF(H49="",1,H49)*E49*F49)/(ROUNDUP(P49,0)*LISTS!$F$6*LISTS!$F$7))</f>
        <v/>
      </c>
      <c r="R49" s="14">
        <f>IF(AND(E49="",K49=""),"",IF(B49="","panel type?",IF(AND(K49="",O49=0),"panel bigger than sheet",IF(AND(G49&lt;&gt;"",ISERROR(FIND("-"&amp;G49,B49))),"T must match panel type",IF(I49="","exposed faces?","OK")))))</f>
        <v/>
      </c>
      <c r="S49" s="12">
        <f t="array" ref="S49">IF(OR(B49="",P49=""),"",IFERROR(INDEX(RATES!$C:$C,MATCH(B49,RATES!$A:$A,0)),"rate?"))</f>
        <v/>
      </c>
      <c r="T49" s="12">
        <f>IF(ISNUMBER(S49),IF(K49&lt;&gt;"",K49,IF(Q49&gt;RATES!$C$97,P49*(1+RATES!$C$98),ROUNDUP(P49,0)))*S49,"")</f>
        <v/>
      </c>
    </row>
    <row r="50" ht="15.75" customHeight="1" s="59">
      <c r="A50" s="9" t="n">
        <v>5</v>
      </c>
      <c r="B50" s="10" t="n"/>
      <c r="C50" s="48" t="n"/>
      <c r="D50" s="10" t="n"/>
      <c r="E50" s="10" t="n"/>
      <c r="F50" s="10" t="n"/>
      <c r="G50" s="10" t="n"/>
      <c r="H50" s="10" t="n"/>
      <c r="I50" s="10" t="n"/>
      <c r="J50" s="10" t="n"/>
      <c r="K50" s="10" t="n"/>
      <c r="L50" s="10" t="n"/>
      <c r="M50" s="25">
        <f>IF(OR(E50="",F50="",G50=""),"",E50*F50*G50/1000000000*IF(H50="",1,H50))</f>
        <v/>
      </c>
      <c r="N50" s="19">
        <f>IF(OR(E50="",F50=""),"",E50*F50/1000000*IF(H50="",1,H50))</f>
        <v/>
      </c>
      <c r="O50" s="14">
        <f>IF(OR(E50="",F50=""),"",MAX(INT(LISTS!$F$6/(E50+LISTS!$F$8))*INT(LISTS!$F$7/(F50+LISTS!$F$8)),INT(LISTS!$F$6/(F50+LISTS!$F$8))*INT(LISTS!$F$7/(E50+LISTS!$F$8))))</f>
        <v/>
      </c>
      <c r="P50" s="19">
        <f>IF(K50&lt;&gt;"",K50,IF(OR(O50="",O50=0),"",IF(H50="",1,H50)/O50))</f>
        <v/>
      </c>
      <c r="Q50" s="36">
        <f>IF(OR(K50&lt;&gt;"",P50=""),"",1-(IF(H50="",1,H50)*E50*F50)/(ROUNDUP(P50,0)*LISTS!$F$6*LISTS!$F$7))</f>
        <v/>
      </c>
      <c r="R50" s="14">
        <f>IF(AND(E50="",K50=""),"",IF(B50="","panel type?",IF(AND(K50="",O50=0),"panel bigger than sheet",IF(AND(G50&lt;&gt;"",ISERROR(FIND("-"&amp;G50,B50))),"T must match panel type",IF(I50="","exposed faces?","OK")))))</f>
        <v/>
      </c>
      <c r="S50" s="12">
        <f t="array" ref="S50">IF(OR(B50="",P50=""),"",IFERROR(INDEX(RATES!$C:$C,MATCH(B50,RATES!$A:$A,0)),"rate?"))</f>
        <v/>
      </c>
      <c r="T50" s="12">
        <f>IF(ISNUMBER(S50),IF(K50&lt;&gt;"",K50,IF(Q50&gt;RATES!$C$97,P50*(1+RATES!$C$98),ROUNDUP(P50,0)))*S50,"")</f>
        <v/>
      </c>
    </row>
    <row r="51" ht="15.75" customHeight="1" s="59">
      <c r="A51" s="9" t="n">
        <v>6</v>
      </c>
      <c r="B51" s="10" t="n"/>
      <c r="C51" s="48" t="n"/>
      <c r="D51" s="10" t="n"/>
      <c r="E51" s="10" t="n"/>
      <c r="F51" s="10" t="n"/>
      <c r="G51" s="10" t="n"/>
      <c r="H51" s="10" t="n"/>
      <c r="I51" s="10" t="n"/>
      <c r="J51" s="10" t="n"/>
      <c r="K51" s="10" t="n"/>
      <c r="L51" s="10" t="n"/>
      <c r="M51" s="25">
        <f>IF(OR(E51="",F51="",G51=""),"",E51*F51*G51/1000000000*IF(H51="",1,H51))</f>
        <v/>
      </c>
      <c r="N51" s="19">
        <f>IF(OR(E51="",F51=""),"",E51*F51/1000000*IF(H51="",1,H51))</f>
        <v/>
      </c>
      <c r="O51" s="14">
        <f>IF(OR(E51="",F51=""),"",MAX(INT(LISTS!$F$6/(E51+LISTS!$F$8))*INT(LISTS!$F$7/(F51+LISTS!$F$8)),INT(LISTS!$F$6/(F51+LISTS!$F$8))*INT(LISTS!$F$7/(E51+LISTS!$F$8))))</f>
        <v/>
      </c>
      <c r="P51" s="19">
        <f>IF(K51&lt;&gt;"",K51,IF(OR(O51="",O51=0),"",IF(H51="",1,H51)/O51))</f>
        <v/>
      </c>
      <c r="Q51" s="36">
        <f>IF(OR(K51&lt;&gt;"",P51=""),"",1-(IF(H51="",1,H51)*E51*F51)/(ROUNDUP(P51,0)*LISTS!$F$6*LISTS!$F$7))</f>
        <v/>
      </c>
      <c r="R51" s="14">
        <f>IF(AND(E51="",K51=""),"",IF(B51="","panel type?",IF(AND(K51="",O51=0),"panel bigger than sheet",IF(AND(G51&lt;&gt;"",ISERROR(FIND("-"&amp;G51,B51))),"T must match panel type",IF(I51="","exposed faces?","OK")))))</f>
        <v/>
      </c>
      <c r="S51" s="12">
        <f t="array" ref="S51">IF(OR(B51="",P51=""),"",IFERROR(INDEX(RATES!$C:$C,MATCH(B51,RATES!$A:$A,0)),"rate?"))</f>
        <v/>
      </c>
      <c r="T51" s="12">
        <f>IF(ISNUMBER(S51),IF(K51&lt;&gt;"",K51,IF(Q51&gt;RATES!$C$97,P51*(1+RATES!$C$98),ROUNDUP(P51,0)))*S51,"")</f>
        <v/>
      </c>
    </row>
    <row r="52" ht="15.75" customHeight="1" s="59">
      <c r="A52" s="9" t="n">
        <v>7</v>
      </c>
      <c r="B52" s="10" t="n"/>
      <c r="C52" s="48" t="n"/>
      <c r="D52" s="10" t="n"/>
      <c r="E52" s="10" t="n"/>
      <c r="F52" s="10" t="n"/>
      <c r="G52" s="10" t="n"/>
      <c r="H52" s="10" t="n"/>
      <c r="I52" s="10" t="n"/>
      <c r="J52" s="10" t="n"/>
      <c r="K52" s="10" t="n"/>
      <c r="L52" s="10" t="n"/>
      <c r="M52" s="25">
        <f>IF(OR(E52="",F52="",G52=""),"",E52*F52*G52/1000000000*IF(H52="",1,H52))</f>
        <v/>
      </c>
      <c r="N52" s="19">
        <f>IF(OR(E52="",F52=""),"",E52*F52/1000000*IF(H52="",1,H52))</f>
        <v/>
      </c>
      <c r="O52" s="14">
        <f>IF(OR(E52="",F52=""),"",MAX(INT(LISTS!$F$6/(E52+LISTS!$F$8))*INT(LISTS!$F$7/(F52+LISTS!$F$8)),INT(LISTS!$F$6/(F52+LISTS!$F$8))*INT(LISTS!$F$7/(E52+LISTS!$F$8))))</f>
        <v/>
      </c>
      <c r="P52" s="19">
        <f>IF(K52&lt;&gt;"",K52,IF(OR(O52="",O52=0),"",IF(H52="",1,H52)/O52))</f>
        <v/>
      </c>
      <c r="Q52" s="36">
        <f>IF(OR(K52&lt;&gt;"",P52=""),"",1-(IF(H52="",1,H52)*E52*F52)/(ROUNDUP(P52,0)*LISTS!$F$6*LISTS!$F$7))</f>
        <v/>
      </c>
      <c r="R52" s="14">
        <f>IF(AND(E52="",K52=""),"",IF(B52="","panel type?",IF(AND(K52="",O52=0),"panel bigger than sheet",IF(AND(G52&lt;&gt;"",ISERROR(FIND("-"&amp;G52,B52))),"T must match panel type",IF(I52="","exposed faces?","OK")))))</f>
        <v/>
      </c>
      <c r="S52" s="12">
        <f t="array" ref="S52">IF(OR(B52="",P52=""),"",IFERROR(INDEX(RATES!$C:$C,MATCH(B52,RATES!$A:$A,0)),"rate?"))</f>
        <v/>
      </c>
      <c r="T52" s="12">
        <f>IF(ISNUMBER(S52),IF(K52&lt;&gt;"",K52,IF(Q52&gt;RATES!$C$97,P52*(1+RATES!$C$98),ROUNDUP(P52,0)))*S52,"")</f>
        <v/>
      </c>
    </row>
    <row r="53" ht="15.75" customHeight="1" s="59">
      <c r="A53" s="9" t="n">
        <v>8</v>
      </c>
      <c r="B53" s="10" t="n"/>
      <c r="C53" s="48" t="n"/>
      <c r="D53" s="10" t="n"/>
      <c r="E53" s="10" t="n"/>
      <c r="F53" s="10" t="n"/>
      <c r="G53" s="10" t="n"/>
      <c r="H53" s="10" t="n"/>
      <c r="I53" s="10" t="n"/>
      <c r="J53" s="10" t="n"/>
      <c r="K53" s="10" t="n"/>
      <c r="L53" s="10" t="n"/>
      <c r="M53" s="25">
        <f>IF(OR(E53="",F53="",G53=""),"",E53*F53*G53/1000000000*IF(H53="",1,H53))</f>
        <v/>
      </c>
      <c r="N53" s="19">
        <f>IF(OR(E53="",F53=""),"",E53*F53/1000000*IF(H53="",1,H53))</f>
        <v/>
      </c>
      <c r="O53" s="14">
        <f>IF(OR(E53="",F53=""),"",MAX(INT(LISTS!$F$6/(E53+LISTS!$F$8))*INT(LISTS!$F$7/(F53+LISTS!$F$8)),INT(LISTS!$F$6/(F53+LISTS!$F$8))*INT(LISTS!$F$7/(E53+LISTS!$F$8))))</f>
        <v/>
      </c>
      <c r="P53" s="19">
        <f>IF(K53&lt;&gt;"",K53,IF(OR(O53="",O53=0),"",IF(H53="",1,H53)/O53))</f>
        <v/>
      </c>
      <c r="Q53" s="36">
        <f>IF(OR(K53&lt;&gt;"",P53=""),"",1-(IF(H53="",1,H53)*E53*F53)/(ROUNDUP(P53,0)*LISTS!$F$6*LISTS!$F$7))</f>
        <v/>
      </c>
      <c r="R53" s="14">
        <f>IF(AND(E53="",K53=""),"",IF(B53="","panel type?",IF(AND(K53="",O53=0),"panel bigger than sheet",IF(AND(G53&lt;&gt;"",ISERROR(FIND("-"&amp;G53,B53))),"T must match panel type",IF(I53="","exposed faces?","OK")))))</f>
        <v/>
      </c>
      <c r="S53" s="12">
        <f t="array" ref="S53">IF(OR(B53="",P53=""),"",IFERROR(INDEX(RATES!$C:$C,MATCH(B53,RATES!$A:$A,0)),"rate?"))</f>
        <v/>
      </c>
      <c r="T53" s="12">
        <f>IF(ISNUMBER(S53),IF(K53&lt;&gt;"",K53,IF(Q53&gt;RATES!$C$97,P53*(1+RATES!$C$98),ROUNDUP(P53,0)))*S53,"")</f>
        <v/>
      </c>
    </row>
    <row r="54" ht="15.75" customHeight="1" s="59">
      <c r="A54" s="9" t="n">
        <v>9</v>
      </c>
      <c r="B54" s="10" t="n"/>
      <c r="C54" s="48" t="n"/>
      <c r="D54" s="10" t="n"/>
      <c r="E54" s="10" t="n"/>
      <c r="F54" s="10" t="n"/>
      <c r="G54" s="10" t="n"/>
      <c r="H54" s="10" t="n"/>
      <c r="I54" s="10" t="n"/>
      <c r="J54" s="10" t="n"/>
      <c r="K54" s="10" t="n"/>
      <c r="L54" s="10" t="n"/>
      <c r="M54" s="25">
        <f>IF(OR(E54="",F54="",G54=""),"",E54*F54*G54/1000000000*IF(H54="",1,H54))</f>
        <v/>
      </c>
      <c r="N54" s="19">
        <f>IF(OR(E54="",F54=""),"",E54*F54/1000000*IF(H54="",1,H54))</f>
        <v/>
      </c>
      <c r="O54" s="14">
        <f>IF(OR(E54="",F54=""),"",MAX(INT(LISTS!$F$6/(E54+LISTS!$F$8))*INT(LISTS!$F$7/(F54+LISTS!$F$8)),INT(LISTS!$F$6/(F54+LISTS!$F$8))*INT(LISTS!$F$7/(E54+LISTS!$F$8))))</f>
        <v/>
      </c>
      <c r="P54" s="19">
        <f>IF(K54&lt;&gt;"",K54,IF(OR(O54="",O54=0),"",IF(H54="",1,H54)/O54))</f>
        <v/>
      </c>
      <c r="Q54" s="36">
        <f>IF(OR(K54&lt;&gt;"",P54=""),"",1-(IF(H54="",1,H54)*E54*F54)/(ROUNDUP(P54,0)*LISTS!$F$6*LISTS!$F$7))</f>
        <v/>
      </c>
      <c r="R54" s="14">
        <f>IF(AND(E54="",K54=""),"",IF(B54="","panel type?",IF(AND(K54="",O54=0),"panel bigger than sheet",IF(AND(G54&lt;&gt;"",ISERROR(FIND("-"&amp;G54,B54))),"T must match panel type",IF(I54="","exposed faces?","OK")))))</f>
        <v/>
      </c>
      <c r="S54" s="12">
        <f t="array" ref="S54">IF(OR(B54="",P54=""),"",IFERROR(INDEX(RATES!$C:$C,MATCH(B54,RATES!$A:$A,0)),"rate?"))</f>
        <v/>
      </c>
      <c r="T54" s="12">
        <f>IF(ISNUMBER(S54),IF(K54&lt;&gt;"",K54,IF(Q54&gt;RATES!$C$97,P54*(1+RATES!$C$98),ROUNDUP(P54,0)))*S54,"")</f>
        <v/>
      </c>
    </row>
    <row r="55" ht="15.75" customHeight="1" s="59">
      <c r="A55" s="9" t="n">
        <v>10</v>
      </c>
      <c r="B55" s="10" t="n"/>
      <c r="C55" s="48" t="n"/>
      <c r="D55" s="10" t="n"/>
      <c r="E55" s="10" t="n"/>
      <c r="F55" s="10" t="n"/>
      <c r="G55" s="10" t="n"/>
      <c r="H55" s="10" t="n"/>
      <c r="I55" s="10" t="n"/>
      <c r="J55" s="10" t="n"/>
      <c r="K55" s="10" t="n"/>
      <c r="L55" s="10" t="n"/>
      <c r="M55" s="25">
        <f>IF(OR(E55="",F55="",G55=""),"",E55*F55*G55/1000000000*IF(H55="",1,H55))</f>
        <v/>
      </c>
      <c r="N55" s="19">
        <f>IF(OR(E55="",F55=""),"",E55*F55/1000000*IF(H55="",1,H55))</f>
        <v/>
      </c>
      <c r="O55" s="14">
        <f>IF(OR(E55="",F55=""),"",MAX(INT(LISTS!$F$6/(E55+LISTS!$F$8))*INT(LISTS!$F$7/(F55+LISTS!$F$8)),INT(LISTS!$F$6/(F55+LISTS!$F$8))*INT(LISTS!$F$7/(E55+LISTS!$F$8))))</f>
        <v/>
      </c>
      <c r="P55" s="19">
        <f>IF(K55&lt;&gt;"",K55,IF(OR(O55="",O55=0),"",IF(H55="",1,H55)/O55))</f>
        <v/>
      </c>
      <c r="Q55" s="36">
        <f>IF(OR(K55&lt;&gt;"",P55=""),"",1-(IF(H55="",1,H55)*E55*F55)/(ROUNDUP(P55,0)*LISTS!$F$6*LISTS!$F$7))</f>
        <v/>
      </c>
      <c r="R55" s="14">
        <f>IF(AND(E55="",K55=""),"",IF(B55="","panel type?",IF(AND(K55="",O55=0),"panel bigger than sheet",IF(AND(G55&lt;&gt;"",ISERROR(FIND("-"&amp;G55,B55))),"T must match panel type",IF(I55="","exposed faces?","OK")))))</f>
        <v/>
      </c>
      <c r="S55" s="12">
        <f t="array" ref="S55">IF(OR(B55="",P55=""),"",IFERROR(INDEX(RATES!$C:$C,MATCH(B55,RATES!$A:$A,0)),"rate?"))</f>
        <v/>
      </c>
      <c r="T55" s="12">
        <f>IF(ISNUMBER(S55),IF(K55&lt;&gt;"",K55,IF(Q55&gt;RATES!$C$97,P55*(1+RATES!$C$98),ROUNDUP(P55,0)))*S55,"")</f>
        <v/>
      </c>
    </row>
    <row r="56" ht="15.75" customHeight="1" s="59">
      <c r="A56" s="9" t="n">
        <v>11</v>
      </c>
      <c r="B56" s="10" t="n"/>
      <c r="C56" s="48" t="n"/>
      <c r="D56" s="10" t="n"/>
      <c r="E56" s="10" t="n"/>
      <c r="F56" s="10" t="n"/>
      <c r="G56" s="10" t="n"/>
      <c r="H56" s="10" t="n"/>
      <c r="I56" s="10" t="n"/>
      <c r="J56" s="10" t="n"/>
      <c r="K56" s="10" t="n"/>
      <c r="L56" s="10" t="n"/>
      <c r="M56" s="25">
        <f>IF(OR(E56="",F56="",G56=""),"",E56*F56*G56/1000000000*IF(H56="",1,H56))</f>
        <v/>
      </c>
      <c r="N56" s="19">
        <f>IF(OR(E56="",F56=""),"",E56*F56/1000000*IF(H56="",1,H56))</f>
        <v/>
      </c>
      <c r="O56" s="14">
        <f>IF(OR(E56="",F56=""),"",MAX(INT(LISTS!$F$6/(E56+LISTS!$F$8))*INT(LISTS!$F$7/(F56+LISTS!$F$8)),INT(LISTS!$F$6/(F56+LISTS!$F$8))*INT(LISTS!$F$7/(E56+LISTS!$F$8))))</f>
        <v/>
      </c>
      <c r="P56" s="19">
        <f>IF(K56&lt;&gt;"",K56,IF(OR(O56="",O56=0),"",IF(H56="",1,H56)/O56))</f>
        <v/>
      </c>
      <c r="Q56" s="36">
        <f>IF(OR(K56&lt;&gt;"",P56=""),"",1-(IF(H56="",1,H56)*E56*F56)/(ROUNDUP(P56,0)*LISTS!$F$6*LISTS!$F$7))</f>
        <v/>
      </c>
      <c r="R56" s="14">
        <f>IF(AND(E56="",K56=""),"",IF(B56="","panel type?",IF(AND(K56="",O56=0),"panel bigger than sheet",IF(AND(G56&lt;&gt;"",ISERROR(FIND("-"&amp;G56,B56))),"T must match panel type",IF(I56="","exposed faces?","OK")))))</f>
        <v/>
      </c>
      <c r="S56" s="12">
        <f t="array" ref="S56">IF(OR(B56="",P56=""),"",IFERROR(INDEX(RATES!$C:$C,MATCH(B56,RATES!$A:$A,0)),"rate?"))</f>
        <v/>
      </c>
      <c r="T56" s="12">
        <f>IF(ISNUMBER(S56),IF(K56&lt;&gt;"",K56,IF(Q56&gt;RATES!$C$97,P56*(1+RATES!$C$98),ROUNDUP(P56,0)))*S56,"")</f>
        <v/>
      </c>
    </row>
    <row r="57" ht="15.75" customHeight="1" s="59">
      <c r="A57" s="9" t="n">
        <v>12</v>
      </c>
      <c r="B57" s="10" t="n"/>
      <c r="C57" s="48" t="n"/>
      <c r="D57" s="10" t="n"/>
      <c r="E57" s="10" t="n"/>
      <c r="F57" s="10" t="n"/>
      <c r="G57" s="10" t="n"/>
      <c r="H57" s="10" t="n"/>
      <c r="I57" s="10" t="n"/>
      <c r="J57" s="10" t="n"/>
      <c r="K57" s="10" t="n"/>
      <c r="L57" s="10" t="n"/>
      <c r="M57" s="25">
        <f>IF(OR(E57="",F57="",G57=""),"",E57*F57*G57/1000000000*IF(H57="",1,H57))</f>
        <v/>
      </c>
      <c r="N57" s="19">
        <f>IF(OR(E57="",F57=""),"",E57*F57/1000000*IF(H57="",1,H57))</f>
        <v/>
      </c>
      <c r="O57" s="14">
        <f>IF(OR(E57="",F57=""),"",MAX(INT(LISTS!$F$6/(E57+LISTS!$F$8))*INT(LISTS!$F$7/(F57+LISTS!$F$8)),INT(LISTS!$F$6/(F57+LISTS!$F$8))*INT(LISTS!$F$7/(E57+LISTS!$F$8))))</f>
        <v/>
      </c>
      <c r="P57" s="19">
        <f>IF(K57&lt;&gt;"",K57,IF(OR(O57="",O57=0),"",IF(H57="",1,H57)/O57))</f>
        <v/>
      </c>
      <c r="Q57" s="36">
        <f>IF(OR(K57&lt;&gt;"",P57=""),"",1-(IF(H57="",1,H57)*E57*F57)/(ROUNDUP(P57,0)*LISTS!$F$6*LISTS!$F$7))</f>
        <v/>
      </c>
      <c r="R57" s="14">
        <f>IF(AND(E57="",K57=""),"",IF(B57="","panel type?",IF(AND(K57="",O57=0),"panel bigger than sheet",IF(AND(G57&lt;&gt;"",ISERROR(FIND("-"&amp;G57,B57))),"T must match panel type",IF(I57="","exposed faces?","OK")))))</f>
        <v/>
      </c>
      <c r="S57" s="12">
        <f t="array" ref="S57">IF(OR(B57="",P57=""),"",IFERROR(INDEX(RATES!$C:$C,MATCH(B57,RATES!$A:$A,0)),"rate?"))</f>
        <v/>
      </c>
      <c r="T57" s="12">
        <f>IF(ISNUMBER(S57),IF(K57&lt;&gt;"",K57,IF(Q57&gt;RATES!$C$97,P57*(1+RATES!$C$98),ROUNDUP(P57,0)))*S57,"")</f>
        <v/>
      </c>
    </row>
    <row r="58" ht="15.75" customHeight="1" s="59">
      <c r="A58" s="9" t="n">
        <v>13</v>
      </c>
      <c r="B58" s="10" t="n"/>
      <c r="C58" s="48" t="n"/>
      <c r="D58" s="10" t="n"/>
      <c r="E58" s="10" t="n"/>
      <c r="F58" s="10" t="n"/>
      <c r="G58" s="10" t="n"/>
      <c r="H58" s="10" t="n"/>
      <c r="I58" s="10" t="n"/>
      <c r="J58" s="10" t="n"/>
      <c r="K58" s="10" t="n"/>
      <c r="L58" s="10" t="n"/>
      <c r="M58" s="25">
        <f>IF(OR(E58="",F58="",G58=""),"",E58*F58*G58/1000000000*IF(H58="",1,H58))</f>
        <v/>
      </c>
      <c r="N58" s="19">
        <f>IF(OR(E58="",F58=""),"",E58*F58/1000000*IF(H58="",1,H58))</f>
        <v/>
      </c>
      <c r="O58" s="14">
        <f>IF(OR(E58="",F58=""),"",MAX(INT(LISTS!$F$6/(E58+LISTS!$F$8))*INT(LISTS!$F$7/(F58+LISTS!$F$8)),INT(LISTS!$F$6/(F58+LISTS!$F$8))*INT(LISTS!$F$7/(E58+LISTS!$F$8))))</f>
        <v/>
      </c>
      <c r="P58" s="19">
        <f>IF(K58&lt;&gt;"",K58,IF(OR(O58="",O58=0),"",IF(H58="",1,H58)/O58))</f>
        <v/>
      </c>
      <c r="Q58" s="36">
        <f>IF(OR(K58&lt;&gt;"",P58=""),"",1-(IF(H58="",1,H58)*E58*F58)/(ROUNDUP(P58,0)*LISTS!$F$6*LISTS!$F$7))</f>
        <v/>
      </c>
      <c r="R58" s="14">
        <f>IF(AND(E58="",K58=""),"",IF(B58="","panel type?",IF(AND(K58="",O58=0),"panel bigger than sheet",IF(AND(G58&lt;&gt;"",ISERROR(FIND("-"&amp;G58,B58))),"T must match panel type",IF(I58="","exposed faces?","OK")))))</f>
        <v/>
      </c>
      <c r="S58" s="12">
        <f t="array" ref="S58">IF(OR(B58="",P58=""),"",IFERROR(INDEX(RATES!$C:$C,MATCH(B58,RATES!$A:$A,0)),"rate?"))</f>
        <v/>
      </c>
      <c r="T58" s="12">
        <f>IF(ISNUMBER(S58),IF(K58&lt;&gt;"",K58,IF(Q58&gt;RATES!$C$97,P58*(1+RATES!$C$98),ROUNDUP(P58,0)))*S58,"")</f>
        <v/>
      </c>
    </row>
    <row r="59" ht="15.75" customHeight="1" s="59">
      <c r="A59" s="9" t="n">
        <v>14</v>
      </c>
      <c r="B59" s="10" t="n"/>
      <c r="C59" s="48" t="n"/>
      <c r="D59" s="10" t="n"/>
      <c r="E59" s="10" t="n"/>
      <c r="F59" s="10" t="n"/>
      <c r="G59" s="10" t="n"/>
      <c r="H59" s="10" t="n"/>
      <c r="I59" s="10" t="n"/>
      <c r="J59" s="10" t="n"/>
      <c r="K59" s="10" t="n"/>
      <c r="L59" s="10" t="n"/>
      <c r="M59" s="25">
        <f>IF(OR(E59="",F59="",G59=""),"",E59*F59*G59/1000000000*IF(H59="",1,H59))</f>
        <v/>
      </c>
      <c r="N59" s="19">
        <f>IF(OR(E59="",F59=""),"",E59*F59/1000000*IF(H59="",1,H59))</f>
        <v/>
      </c>
      <c r="O59" s="14">
        <f>IF(OR(E59="",F59=""),"",MAX(INT(LISTS!$F$6/(E59+LISTS!$F$8))*INT(LISTS!$F$7/(F59+LISTS!$F$8)),INT(LISTS!$F$6/(F59+LISTS!$F$8))*INT(LISTS!$F$7/(E59+LISTS!$F$8))))</f>
        <v/>
      </c>
      <c r="P59" s="19">
        <f>IF(K59&lt;&gt;"",K59,IF(OR(O59="",O59=0),"",IF(H59="",1,H59)/O59))</f>
        <v/>
      </c>
      <c r="Q59" s="36">
        <f>IF(OR(K59&lt;&gt;"",P59=""),"",1-(IF(H59="",1,H59)*E59*F59)/(ROUNDUP(P59,0)*LISTS!$F$6*LISTS!$F$7))</f>
        <v/>
      </c>
      <c r="R59" s="14">
        <f>IF(AND(E59="",K59=""),"",IF(B59="","panel type?",IF(AND(K59="",O59=0),"panel bigger than sheet",IF(AND(G59&lt;&gt;"",ISERROR(FIND("-"&amp;G59,B59))),"T must match panel type",IF(I59="","exposed faces?","OK")))))</f>
        <v/>
      </c>
      <c r="S59" s="12">
        <f t="array" ref="S59">IF(OR(B59="",P59=""),"",IFERROR(INDEX(RATES!$C:$C,MATCH(B59,RATES!$A:$A,0)),"rate?"))</f>
        <v/>
      </c>
      <c r="T59" s="12">
        <f>IF(ISNUMBER(S59),IF(K59&lt;&gt;"",K59,IF(Q59&gt;RATES!$C$97,P59*(1+RATES!$C$98),ROUNDUP(P59,0)))*S59,"")</f>
        <v/>
      </c>
    </row>
    <row r="60" ht="15.75" customHeight="1" s="59">
      <c r="A60" s="9" t="n">
        <v>15</v>
      </c>
      <c r="B60" s="10" t="n"/>
      <c r="C60" s="48" t="n"/>
      <c r="D60" s="10" t="n"/>
      <c r="E60" s="10" t="n"/>
      <c r="F60" s="10" t="n"/>
      <c r="G60" s="10" t="n"/>
      <c r="H60" s="10" t="n"/>
      <c r="I60" s="10" t="n"/>
      <c r="J60" s="10" t="n"/>
      <c r="K60" s="10" t="n"/>
      <c r="L60" s="10" t="n"/>
      <c r="M60" s="25">
        <f>IF(OR(E60="",F60="",G60=""),"",E60*F60*G60/1000000000*IF(H60="",1,H60))</f>
        <v/>
      </c>
      <c r="N60" s="19">
        <f>IF(OR(E60="",F60=""),"",E60*F60/1000000*IF(H60="",1,H60))</f>
        <v/>
      </c>
      <c r="O60" s="14">
        <f>IF(OR(E60="",F60=""),"",MAX(INT(LISTS!$F$6/(E60+LISTS!$F$8))*INT(LISTS!$F$7/(F60+LISTS!$F$8)),INT(LISTS!$F$6/(F60+LISTS!$F$8))*INT(LISTS!$F$7/(E60+LISTS!$F$8))))</f>
        <v/>
      </c>
      <c r="P60" s="19">
        <f>IF(K60&lt;&gt;"",K60,IF(OR(O60="",O60=0),"",IF(H60="",1,H60)/O60))</f>
        <v/>
      </c>
      <c r="Q60" s="36">
        <f>IF(OR(K60&lt;&gt;"",P60=""),"",1-(IF(H60="",1,H60)*E60*F60)/(ROUNDUP(P60,0)*LISTS!$F$6*LISTS!$F$7))</f>
        <v/>
      </c>
      <c r="R60" s="14">
        <f>IF(AND(E60="",K60=""),"",IF(B60="","panel type?",IF(AND(K60="",O60=0),"panel bigger than sheet",IF(AND(G60&lt;&gt;"",ISERROR(FIND("-"&amp;G60,B60))),"T must match panel type",IF(I60="","exposed faces?","OK")))))</f>
        <v/>
      </c>
      <c r="S60" s="12">
        <f t="array" ref="S60">IF(OR(B60="",P60=""),"",IFERROR(INDEX(RATES!$C:$C,MATCH(B60,RATES!$A:$A,0)),"rate?"))</f>
        <v/>
      </c>
      <c r="T60" s="12">
        <f>IF(ISNUMBER(S60),IF(K60&lt;&gt;"",K60,IF(Q60&gt;RATES!$C$97,P60*(1+RATES!$C$98),ROUNDUP(P60,0)))*S60,"")</f>
        <v/>
      </c>
    </row>
    <row r="61" ht="15.75" customHeight="1" s="59"/>
    <row r="62" ht="15.75" customHeight="1" s="59">
      <c r="A62" s="5" t="inlineStr">
        <is>
          <t>HARDWARE &amp; BOUGHT-IN: runners, hinges, handles, metal frames, rattan, glass, mirror, fabric, foam, outside labour. ENTER UNIT PRICE IDR.</t>
        </is>
      </c>
    </row>
    <row r="63" ht="31.5" customHeight="1" s="59">
      <c r="A63" s="8" t="inlineStr">
        <is>
          <t>NO</t>
        </is>
      </c>
      <c r="B63" s="8" t="inlineStr">
        <is>
          <t>ITEM MASTER CODE</t>
        </is>
      </c>
      <c r="C63" s="47" t="inlineStr">
        <is>
          <t>LABEL</t>
        </is>
      </c>
      <c r="D63" s="8" t="inlineStr">
        <is>
          <t>DESCRIPTION</t>
        </is>
      </c>
      <c r="E63" s="8" t="inlineStr">
        <is>
          <t>VENDOR</t>
        </is>
      </c>
      <c r="F63" s="8" t="n"/>
      <c r="G63" s="8" t="n"/>
      <c r="H63" s="8" t="inlineStr">
        <is>
          <t>QTY</t>
        </is>
      </c>
      <c r="I63" s="8" t="inlineStr">
        <is>
          <t>UOM</t>
        </is>
      </c>
      <c r="J63" s="8" t="n"/>
      <c r="K63" s="8" t="n"/>
      <c r="L63" s="8" t="inlineStr">
        <is>
          <t>LINK / NOTE</t>
        </is>
      </c>
      <c r="M63" s="8" t="n"/>
      <c r="N63" s="8" t="n"/>
      <c r="O63" s="8" t="n"/>
      <c r="P63" s="8" t="n"/>
      <c r="Q63" s="8" t="n"/>
      <c r="R63" s="8" t="n"/>
      <c r="S63" s="8" t="inlineStr">
        <is>
          <t>UNIT PRICE IDR</t>
        </is>
      </c>
      <c r="T63" s="8" t="inlineStr">
        <is>
          <t>LINE TOTAL (calc)</t>
        </is>
      </c>
      <c r="U63" s="90" t="inlineStr">
        <is>
          <t>LINE TOTAL USD</t>
        </is>
      </c>
    </row>
    <row r="64" ht="15.75" customHeight="1" s="59">
      <c r="A64" s="9" t="n">
        <v>1</v>
      </c>
      <c r="B64" s="10" t="n"/>
      <c r="C64" s="48" t="n"/>
      <c r="D64" s="10" t="n"/>
      <c r="E64" s="10" t="n"/>
      <c r="F64" s="67" t="n"/>
      <c r="G64" s="68" t="n"/>
      <c r="H64" s="10" t="n"/>
      <c r="I64" s="10" t="n"/>
      <c r="J64" s="10" t="n"/>
      <c r="K64" s="10" t="n"/>
      <c r="L64" s="10" t="n"/>
      <c r="M64" s="67" t="n"/>
      <c r="N64" s="67" t="n"/>
      <c r="O64" s="67" t="n"/>
      <c r="P64" s="67" t="n"/>
      <c r="Q64" s="67" t="n"/>
      <c r="R64" s="68" t="n"/>
      <c r="S64" s="37" t="n"/>
      <c r="T64" s="38">
        <f>IF(OR(H64="",S64=""),"",H64*S64)</f>
        <v/>
      </c>
    </row>
    <row r="65" ht="15.75" customHeight="1" s="59">
      <c r="A65" s="9" t="n">
        <v>2</v>
      </c>
      <c r="B65" s="10" t="n"/>
      <c r="C65" s="48" t="n"/>
      <c r="D65" s="10" t="n"/>
      <c r="E65" s="10" t="n"/>
      <c r="F65" s="67" t="n"/>
      <c r="G65" s="68" t="n"/>
      <c r="H65" s="10" t="n"/>
      <c r="I65" s="10" t="n"/>
      <c r="J65" s="10" t="n"/>
      <c r="K65" s="10" t="n"/>
      <c r="L65" s="10" t="n"/>
      <c r="M65" s="67" t="n"/>
      <c r="N65" s="67" t="n"/>
      <c r="O65" s="67" t="n"/>
      <c r="P65" s="67" t="n"/>
      <c r="Q65" s="67" t="n"/>
      <c r="R65" s="68" t="n"/>
      <c r="S65" s="37" t="n"/>
      <c r="T65" s="38">
        <f>IF(OR(H65="",S65=""),"",H65*S65)</f>
        <v/>
      </c>
    </row>
    <row r="66" ht="15.75" customHeight="1" s="59">
      <c r="A66" s="9" t="n">
        <v>3</v>
      </c>
      <c r="B66" s="10" t="n"/>
      <c r="C66" s="48" t="n"/>
      <c r="D66" s="10" t="n"/>
      <c r="E66" s="10" t="n"/>
      <c r="F66" s="67" t="n"/>
      <c r="G66" s="68" t="n"/>
      <c r="H66" s="10" t="n"/>
      <c r="I66" s="10" t="n"/>
      <c r="J66" s="10" t="n"/>
      <c r="K66" s="10" t="n"/>
      <c r="L66" s="10" t="n"/>
      <c r="M66" s="67" t="n"/>
      <c r="N66" s="67" t="n"/>
      <c r="O66" s="67" t="n"/>
      <c r="P66" s="67" t="n"/>
      <c r="Q66" s="67" t="n"/>
      <c r="R66" s="68" t="n"/>
      <c r="S66" s="37" t="n"/>
      <c r="T66" s="38">
        <f>IF(OR(H66="",S66=""),"",H66*S66)</f>
        <v/>
      </c>
    </row>
    <row r="67" ht="15.75" customHeight="1" s="59">
      <c r="A67" s="9" t="n">
        <v>4</v>
      </c>
      <c r="B67" s="10" t="n"/>
      <c r="C67" s="48" t="n"/>
      <c r="D67" s="10" t="n"/>
      <c r="E67" s="10" t="n"/>
      <c r="F67" s="67" t="n"/>
      <c r="G67" s="68" t="n"/>
      <c r="H67" s="10" t="n"/>
      <c r="I67" s="10" t="n"/>
      <c r="J67" s="10" t="n"/>
      <c r="K67" s="10" t="n"/>
      <c r="L67" s="10" t="n"/>
      <c r="M67" s="67" t="n"/>
      <c r="N67" s="67" t="n"/>
      <c r="O67" s="67" t="n"/>
      <c r="P67" s="67" t="n"/>
      <c r="Q67" s="67" t="n"/>
      <c r="R67" s="68" t="n"/>
      <c r="S67" s="37" t="n"/>
      <c r="T67" s="38">
        <f>IF(OR(H67="",S67=""),"",H67*S67)</f>
        <v/>
      </c>
    </row>
    <row r="68" ht="15.75" customHeight="1" s="59">
      <c r="A68" s="9" t="n">
        <v>5</v>
      </c>
      <c r="B68" s="10" t="n"/>
      <c r="C68" s="48" t="n"/>
      <c r="D68" s="10" t="n"/>
      <c r="E68" s="10" t="n"/>
      <c r="F68" s="67" t="n"/>
      <c r="G68" s="68" t="n"/>
      <c r="H68" s="10" t="n"/>
      <c r="I68" s="10" t="n"/>
      <c r="J68" s="10" t="n"/>
      <c r="K68" s="10" t="n"/>
      <c r="L68" s="10" t="n"/>
      <c r="M68" s="67" t="n"/>
      <c r="N68" s="67" t="n"/>
      <c r="O68" s="67" t="n"/>
      <c r="P68" s="67" t="n"/>
      <c r="Q68" s="67" t="n"/>
      <c r="R68" s="68" t="n"/>
      <c r="S68" s="37" t="n"/>
      <c r="T68" s="38">
        <f>IF(OR(H68="",S68=""),"",H68*S68)</f>
        <v/>
      </c>
    </row>
    <row r="69" ht="15.75" customHeight="1" s="59">
      <c r="A69" s="9" t="n">
        <v>6</v>
      </c>
      <c r="B69" s="10" t="n"/>
      <c r="C69" s="48" t="n"/>
      <c r="D69" s="10" t="n"/>
      <c r="E69" s="10" t="n"/>
      <c r="F69" s="67" t="n"/>
      <c r="G69" s="68" t="n"/>
      <c r="H69" s="10" t="n"/>
      <c r="I69" s="10" t="n"/>
      <c r="J69" s="10" t="n"/>
      <c r="K69" s="10" t="n"/>
      <c r="L69" s="10" t="n"/>
      <c r="M69" s="67" t="n"/>
      <c r="N69" s="67" t="n"/>
      <c r="O69" s="67" t="n"/>
      <c r="P69" s="67" t="n"/>
      <c r="Q69" s="67" t="n"/>
      <c r="R69" s="68" t="n"/>
      <c r="S69" s="37" t="n"/>
      <c r="T69" s="38">
        <f>IF(OR(H69="",S69=""),"",H69*S69)</f>
        <v/>
      </c>
    </row>
    <row r="70" ht="15.75" customHeight="1" s="59">
      <c r="A70" s="9" t="n">
        <v>7</v>
      </c>
      <c r="B70" s="10" t="n"/>
      <c r="C70" s="48" t="n"/>
      <c r="D70" s="10" t="n"/>
      <c r="E70" s="10" t="n"/>
      <c r="F70" s="67" t="n"/>
      <c r="G70" s="68" t="n"/>
      <c r="H70" s="10" t="n"/>
      <c r="I70" s="10" t="n"/>
      <c r="J70" s="10" t="n"/>
      <c r="K70" s="10" t="n"/>
      <c r="L70" s="10" t="n"/>
      <c r="M70" s="67" t="n"/>
      <c r="N70" s="67" t="n"/>
      <c r="O70" s="67" t="n"/>
      <c r="P70" s="67" t="n"/>
      <c r="Q70" s="67" t="n"/>
      <c r="R70" s="68" t="n"/>
      <c r="S70" s="37" t="n"/>
      <c r="T70" s="38">
        <f>IF(OR(H70="",S70=""),"",H70*S70)</f>
        <v/>
      </c>
    </row>
    <row r="71" ht="15.75" customHeight="1" s="59">
      <c r="A71" s="9" t="n">
        <v>8</v>
      </c>
      <c r="B71" s="10" t="n"/>
      <c r="C71" s="48" t="n"/>
      <c r="D71" s="10" t="n"/>
      <c r="E71" s="10" t="n"/>
      <c r="F71" s="67" t="n"/>
      <c r="G71" s="68" t="n"/>
      <c r="H71" s="10" t="n"/>
      <c r="I71" s="10" t="n"/>
      <c r="J71" s="10" t="n"/>
      <c r="K71" s="10" t="n"/>
      <c r="L71" s="10" t="n"/>
      <c r="M71" s="67" t="n"/>
      <c r="N71" s="67" t="n"/>
      <c r="O71" s="67" t="n"/>
      <c r="P71" s="67" t="n"/>
      <c r="Q71" s="67" t="n"/>
      <c r="R71" s="68" t="n"/>
      <c r="S71" s="37" t="n"/>
      <c r="T71" s="38">
        <f>IF(OR(H71="",S71=""),"",H71*S71)</f>
        <v/>
      </c>
    </row>
    <row r="72" ht="15.75" customHeight="1" s="59">
      <c r="A72" s="9" t="n">
        <v>9</v>
      </c>
      <c r="B72" s="10" t="n"/>
      <c r="C72" s="48" t="n"/>
      <c r="D72" s="10" t="n"/>
      <c r="E72" s="10" t="n"/>
      <c r="F72" s="67" t="n"/>
      <c r="G72" s="68" t="n"/>
      <c r="H72" s="10" t="n"/>
      <c r="I72" s="10" t="n"/>
      <c r="J72" s="10" t="n"/>
      <c r="K72" s="10" t="n"/>
      <c r="L72" s="10" t="n"/>
      <c r="M72" s="67" t="n"/>
      <c r="N72" s="67" t="n"/>
      <c r="O72" s="67" t="n"/>
      <c r="P72" s="67" t="n"/>
      <c r="Q72" s="67" t="n"/>
      <c r="R72" s="68" t="n"/>
      <c r="S72" s="37" t="n"/>
      <c r="T72" s="38">
        <f>IF(OR(H72="",S72=""),"",H72*S72)</f>
        <v/>
      </c>
    </row>
    <row r="73" ht="15.75" customHeight="1" s="59">
      <c r="A73" s="9" t="n">
        <v>10</v>
      </c>
      <c r="B73" s="10" t="n"/>
      <c r="C73" s="48" t="n"/>
      <c r="D73" s="10" t="n"/>
      <c r="E73" s="10" t="n"/>
      <c r="F73" s="67" t="n"/>
      <c r="G73" s="68" t="n"/>
      <c r="H73" s="10" t="n"/>
      <c r="I73" s="10" t="n"/>
      <c r="J73" s="10" t="n"/>
      <c r="K73" s="10" t="n"/>
      <c r="L73" s="10" t="n"/>
      <c r="M73" s="67" t="n"/>
      <c r="N73" s="67" t="n"/>
      <c r="O73" s="67" t="n"/>
      <c r="P73" s="67" t="n"/>
      <c r="Q73" s="67" t="n"/>
      <c r="R73" s="68" t="n"/>
      <c r="S73" s="37" t="n"/>
      <c r="T73" s="38">
        <f>IF(OR(H73="",S73=""),"",H73*S73)</f>
        <v/>
      </c>
    </row>
    <row r="74" ht="15.75" customHeight="1" s="59">
      <c r="A74" s="9" t="n">
        <v>11</v>
      </c>
      <c r="B74" s="10" t="n"/>
      <c r="C74" s="48" t="n"/>
      <c r="D74" s="10" t="n"/>
      <c r="E74" s="10" t="n"/>
      <c r="F74" s="67" t="n"/>
      <c r="G74" s="68" t="n"/>
      <c r="H74" s="10" t="n"/>
      <c r="I74" s="10" t="n"/>
      <c r="J74" s="10" t="n"/>
      <c r="K74" s="10" t="n"/>
      <c r="L74" s="10" t="n"/>
      <c r="M74" s="67" t="n"/>
      <c r="N74" s="67" t="n"/>
      <c r="O74" s="67" t="n"/>
      <c r="P74" s="67" t="n"/>
      <c r="Q74" s="67" t="n"/>
      <c r="R74" s="68" t="n"/>
      <c r="S74" s="37" t="n"/>
      <c r="T74" s="38">
        <f>IF(OR(H74="",S74=""),"",H74*S74)</f>
        <v/>
      </c>
    </row>
    <row r="75" ht="15.75" customHeight="1" s="59">
      <c r="A75" s="9" t="n">
        <v>12</v>
      </c>
      <c r="B75" s="10" t="n"/>
      <c r="C75" s="48" t="n"/>
      <c r="D75" s="10" t="n"/>
      <c r="E75" s="10" t="n"/>
      <c r="F75" s="67" t="n"/>
      <c r="G75" s="68" t="n"/>
      <c r="H75" s="10" t="n"/>
      <c r="I75" s="10" t="n"/>
      <c r="J75" s="10" t="n"/>
      <c r="K75" s="10" t="n"/>
      <c r="L75" s="10" t="n"/>
      <c r="M75" s="67" t="n"/>
      <c r="N75" s="67" t="n"/>
      <c r="O75" s="67" t="n"/>
      <c r="P75" s="67" t="n"/>
      <c r="Q75" s="67" t="n"/>
      <c r="R75" s="68" t="n"/>
      <c r="S75" s="37" t="n"/>
      <c r="T75" s="38">
        <f>IF(OR(H75="",S75=""),"",H75*S75)</f>
        <v/>
      </c>
    </row>
    <row r="76" ht="15.75" customHeight="1" s="59">
      <c r="A76" s="9" t="n">
        <v>13</v>
      </c>
      <c r="B76" s="10" t="n"/>
      <c r="C76" s="48" t="n"/>
      <c r="D76" s="10" t="n"/>
      <c r="E76" s="10" t="n"/>
      <c r="F76" s="67" t="n"/>
      <c r="G76" s="68" t="n"/>
      <c r="H76" s="10" t="n"/>
      <c r="I76" s="10" t="n"/>
      <c r="J76" s="10" t="n"/>
      <c r="K76" s="10" t="n"/>
      <c r="L76" s="10" t="n"/>
      <c r="M76" s="67" t="n"/>
      <c r="N76" s="67" t="n"/>
      <c r="O76" s="67" t="n"/>
      <c r="P76" s="67" t="n"/>
      <c r="Q76" s="67" t="n"/>
      <c r="R76" s="68" t="n"/>
      <c r="S76" s="37" t="n"/>
      <c r="T76" s="38">
        <f>IF(OR(H76="",S76=""),"",H76*S76)</f>
        <v/>
      </c>
    </row>
    <row r="77" ht="15.75" customHeight="1" s="59">
      <c r="A77" s="9" t="n">
        <v>14</v>
      </c>
      <c r="B77" s="10" t="n"/>
      <c r="C77" s="48" t="n"/>
      <c r="D77" s="10" t="n"/>
      <c r="E77" s="10" t="n"/>
      <c r="F77" s="67" t="n"/>
      <c r="G77" s="68" t="n"/>
      <c r="H77" s="10" t="n"/>
      <c r="I77" s="10" t="n"/>
      <c r="J77" s="10" t="n"/>
      <c r="K77" s="10" t="n"/>
      <c r="L77" s="10" t="n"/>
      <c r="M77" s="67" t="n"/>
      <c r="N77" s="67" t="n"/>
      <c r="O77" s="67" t="n"/>
      <c r="P77" s="67" t="n"/>
      <c r="Q77" s="67" t="n"/>
      <c r="R77" s="68" t="n"/>
      <c r="S77" s="37" t="n"/>
      <c r="T77" s="38">
        <f>IF(OR(H77="",S77=""),"",H77*S77)</f>
        <v/>
      </c>
    </row>
    <row r="78" ht="15.75" customHeight="1" s="59">
      <c r="A78" s="9" t="n">
        <v>15</v>
      </c>
      <c r="B78" s="10" t="n"/>
      <c r="C78" s="48" t="n"/>
      <c r="D78" s="10" t="n"/>
      <c r="E78" s="10" t="n"/>
      <c r="F78" s="67" t="n"/>
      <c r="G78" s="68" t="n"/>
      <c r="H78" s="10" t="n"/>
      <c r="I78" s="10" t="n"/>
      <c r="J78" s="10" t="n"/>
      <c r="K78" s="10" t="n"/>
      <c r="L78" s="10" t="n"/>
      <c r="M78" s="67" t="n"/>
      <c r="N78" s="67" t="n"/>
      <c r="O78" s="67" t="n"/>
      <c r="P78" s="67" t="n"/>
      <c r="Q78" s="67" t="n"/>
      <c r="R78" s="68" t="n"/>
      <c r="S78" s="37" t="n"/>
      <c r="T78" s="38">
        <f>IF(OR(H78="",S78=""),"",H78*S78)</f>
        <v/>
      </c>
    </row>
    <row r="79" ht="15.75" customHeight="1" s="59"/>
    <row r="80" ht="15.75" customHeight="1" s="59">
      <c r="C80" s="137" t="inlineStr">
        <is>
          <t>METAL (hollow, per m)</t>
        </is>
      </c>
      <c r="D80" s="137">
        <f>SUM(T35:T42)</f>
        <v/>
      </c>
      <c r="F80" s="137" t="inlineStr">
        <is>
          <t>Σ length m × IDR/m of the hollow code (RATES list)</t>
        </is>
      </c>
    </row>
    <row r="81" ht="15.75" customHeight="1" s="59">
      <c r="A81" s="5" t="inlineStr">
        <is>
          <t>SUMMARY (system): cost per ONE item, from the RATES tab. Do not type here.</t>
        </is>
      </c>
      <c r="E81" t="inlineStr">
        <is>
          <t>COST USD (system)</t>
        </is>
      </c>
    </row>
    <row r="82" ht="15.75" customHeight="1" s="59">
      <c r="C82" s="5" t="inlineStr">
        <is>
          <t>Solid wood m³</t>
        </is>
      </c>
      <c r="D82" s="25">
        <f>SUM(M18:M32)</f>
        <v/>
      </c>
    </row>
    <row r="83" ht="15.75" customHeight="1" s="59">
      <c r="C83" s="5" t="inlineStr">
        <is>
          <t>Panel sheets</t>
        </is>
      </c>
      <c r="D83" s="17">
        <f>SUM(P46:P60)</f>
        <v/>
      </c>
    </row>
    <row r="84" ht="15.75" customHeight="1" s="59">
      <c r="C84" s="5" t="inlineStr">
        <is>
          <t>Finishing m² (exposed)</t>
        </is>
      </c>
      <c r="D84" s="19">
        <f>SUMIF(I18:I32,"Y",N18:N32)+SUMIF(I35:I42,"Y",N35:N42)+SUMIF(I46:I60,1,N46:N60)+2*SUMIF(I46:I60,2,N46:N60)</f>
        <v/>
      </c>
      <c r="F84" s="2" t="inlineStr">
        <is>
          <t>one face (L × W) per exposed solid component + exposed panel faces</t>
        </is>
      </c>
    </row>
    <row r="85" ht="15.75" customHeight="1" s="59">
      <c r="C85" s="5" t="inlineStr">
        <is>
          <t>Cartons</t>
        </is>
      </c>
      <c r="D85" s="39">
        <f>G15</f>
        <v/>
      </c>
    </row>
    <row r="86" ht="15.75" customHeight="1" s="59">
      <c r="C86" s="5" t="inlineStr">
        <is>
          <t>Carton m³</t>
        </is>
      </c>
      <c r="D86" s="19">
        <f>M15</f>
        <v/>
      </c>
    </row>
    <row r="87" ht="15.75" customHeight="1" s="59">
      <c r="C87" s="5" t="inlineStr">
        <is>
          <t>TIMBER</t>
        </is>
      </c>
      <c r="D87" s="12">
        <f>SUM(T18:T32)</f>
        <v/>
      </c>
      <c r="F87" s="2" t="inlineStr">
        <is>
          <t>Σ component m³ × tier rate (yield, processing and carpentry labour inside)</t>
        </is>
      </c>
    </row>
    <row r="88" ht="15.75" customHeight="1" s="59">
      <c r="C88" s="5" t="inlineStr">
        <is>
          <t>FASTENERS</t>
        </is>
      </c>
      <c r="D88" s="12">
        <f>D82*RATES!$C$46</f>
        <v/>
      </c>
      <c r="F88" s="2" t="inlineStr">
        <is>
          <t>solid wood m³ × FASTENERS</t>
        </is>
      </c>
    </row>
    <row r="89" ht="15.75" customHeight="1" s="59">
      <c r="C89" s="5" t="inlineStr">
        <is>
          <t>PANELS</t>
        </is>
      </c>
      <c r="D89" s="12">
        <f>SUM(T46:T60)</f>
        <v/>
      </c>
      <c r="F89" s="2" t="inlineStr">
        <is>
          <t>sheets charged × sheet rate (nested, or manual sheets)</t>
        </is>
      </c>
    </row>
    <row r="90" ht="15.75" customHeight="1" s="59">
      <c r="C90" s="5" t="inlineStr">
        <is>
          <t>FINISHING MATERIALS</t>
        </is>
      </c>
      <c r="D90" s="12">
        <f>D84*RATES!$C$47*IF($C$5="NONE (RAW)",0,1)</f>
        <v/>
      </c>
      <c r="F90" s="2" t="inlineStr">
        <is>
          <t>exposed m² × FIN_MAT (Zhanchen + thinner). All four finishing lines = 0 when FINISH RECIPE is NONE (RAW)</t>
        </is>
      </c>
    </row>
    <row r="91" ht="15.75" customHeight="1" s="59">
      <c r="C91" s="5" t="inlineStr">
        <is>
          <t>SANDING MATERIALS</t>
        </is>
      </c>
      <c r="D91" s="12">
        <f>D84*RATES!$C$48*IF($C$5="NONE (RAW)",0,1)</f>
        <v/>
      </c>
      <c r="F91" s="2" t="inlineStr">
        <is>
          <t>exposed m² × SAND_MAT (abrasives)</t>
        </is>
      </c>
    </row>
    <row r="92" ht="15.75" customHeight="1" s="59">
      <c r="C92" s="5" t="inlineStr">
        <is>
          <t>SANDING LABOUR</t>
        </is>
      </c>
      <c r="D92" s="12">
        <f>D84*RATES!$C$49*IF($C$5="NONE (RAW)",0,1)</f>
        <v/>
      </c>
      <c r="F92" s="2" t="inlineStr">
        <is>
          <t>exposed m² × SAND_LAB</t>
        </is>
      </c>
    </row>
    <row r="93" ht="15.75" customHeight="1" s="59">
      <c r="C93" s="5" t="inlineStr">
        <is>
          <t>FINISHING LABOUR</t>
        </is>
      </c>
      <c r="D93" s="12">
        <f>D84*RATES!$C$50*IF($C$5="NONE (RAW)",0,1)</f>
        <v/>
      </c>
      <c r="F93" s="2" t="inlineStr">
        <is>
          <t>exposed m² × FIN_LAB</t>
        </is>
      </c>
    </row>
    <row r="94" ht="15.75" customHeight="1" s="59">
      <c r="C94" s="5" t="inlineStr">
        <is>
          <t>HARDWARE</t>
        </is>
      </c>
      <c r="D94" s="12">
        <f>SUM(T64:T78)</f>
        <v/>
      </c>
      <c r="F94" s="2" t="inlineStr">
        <is>
          <t>Σ hardware &amp; bought-in lines (qty × unit price entered by the team)</t>
        </is>
      </c>
    </row>
    <row r="95" ht="15.75" customHeight="1" s="59">
      <c r="C95" s="5" t="inlineStr">
        <is>
          <t>PACKING</t>
        </is>
      </c>
      <c r="D95" s="12">
        <f>IF(L15=0,0,IF(L15&lt;RATES!$C$95,RATES!$C$53*G15,L15*RATES!$C$51*(1+IF(G15&gt;1,RATES!$C$96,0)))+M15*RATES!$C$52)</f>
        <v/>
      </c>
      <c r="F95" s="2" t="inlineStr">
        <is>
          <t>carton m² × CARTON_M2 + carton m³ × PACK_LAB</t>
        </is>
      </c>
    </row>
    <row r="96" ht="15.75" customHeight="1" s="59">
      <c r="C96" s="5" t="inlineStr">
        <is>
          <t>TOTAL COST</t>
        </is>
      </c>
      <c r="D96" s="16">
        <f>SUM(D87:D95)</f>
        <v/>
      </c>
      <c r="F96" t="inlineStr">
        <is>
          <t>Σ of the nine lines above</t>
        </is>
      </c>
    </row>
    <row r="97" ht="15.75" customHeight="1" s="59">
      <c r="C97" s="5" t="inlineStr">
        <is>
          <t>MISC 4%</t>
        </is>
      </c>
      <c r="D97" s="12">
        <f>D96*RATES!$C$54</f>
        <v/>
      </c>
      <c r="F97" s="2" t="inlineStr">
        <is>
          <t>total cost × MISC_PCT</t>
        </is>
      </c>
    </row>
    <row r="98" ht="15.75" customHeight="1" s="59">
      <c r="C98" s="5" t="inlineStr">
        <is>
          <t>DIRECT COST IDR (HPP)</t>
        </is>
      </c>
      <c r="D98" s="16">
        <f>D96+D97</f>
        <v/>
      </c>
      <c r="F98" t="inlineStr">
        <is>
          <t>total cost + misc</t>
        </is>
      </c>
    </row>
    <row r="99" ht="15.75" customHeight="1" s="59">
      <c r="B99" s="132">
        <f>RATES!$C$169</f>
        <v/>
      </c>
      <c r="C99" s="5" t="inlineStr">
        <is>
          <t>DIRECT COST USD</t>
        </is>
      </c>
      <c r="D99" s="138">
        <f>D98/RATES!$C$169</f>
        <v/>
      </c>
      <c r="F99" s="2" t="inlineStr">
        <is>
          <t>HPP ÷ FX_TARGET (IDR/USD in column B)</t>
        </is>
      </c>
    </row>
    <row r="100" ht="15.75" customHeight="1" s="59">
      <c r="C100" s="5" t="inlineStr">
        <is>
          <t>TARGET PRICE USD</t>
        </is>
      </c>
      <c r="D100" s="138">
        <f>D99*RATES!$C$55</f>
        <v/>
      </c>
      <c r="F100" s="2" t="inlineStr">
        <is>
          <t>direct cost USD × TARGET_X</t>
        </is>
      </c>
    </row>
    <row r="101" ht="15.75" customHeight="1" s="59">
      <c r="C101" s="5" t="inlineStr">
        <is>
          <t>ORDER QTY × DIRECT COST IDR</t>
        </is>
      </c>
      <c r="D101" s="16">
        <f>IF(ISNUMBER(C4),C4,0)*D98</f>
        <v/>
      </c>
    </row>
    <row r="102" ht="15.75" customHeight="1" s="59">
      <c r="C102" s="5" t="inlineStr">
        <is>
          <t>Open input checks</t>
        </is>
      </c>
      <c r="D102" s="40">
        <f>COUNTIF(R18:R32,"?*")-COUNTIF(R18:R32,"OK")+COUNTIF(R35:R42,"?*")-COUNTIF(R35:R42,"OK")+COUNTIF(R46:R60,"?*")-COUNTIF(R46:R60,"OK")+COUNTIF(S18:S60,"rate?")</f>
        <v/>
      </c>
      <c r="F102" s="2" t="inlineStr">
        <is>
          <t>must be 0 before the item counts as costed (see CHECK column)</t>
        </is>
      </c>
    </row>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row r="175" ht="15.75" customHeight="1" s="59"/>
    <row r="176" ht="15.75" customHeight="1" s="59"/>
    <row r="177" ht="15.75" customHeight="1" s="59"/>
    <row r="178" ht="15.75" customHeight="1" s="59"/>
    <row r="179" ht="15.75" customHeight="1" s="59"/>
    <row r="180" ht="15.75" customHeight="1" s="59"/>
    <row r="181" ht="15.75" customHeight="1" s="59"/>
    <row r="182" ht="15.75" customHeight="1" s="59"/>
    <row r="183" ht="15.75" customHeight="1" s="59"/>
    <row r="184" ht="15.75" customHeight="1" s="59"/>
    <row r="185" ht="15.75" customHeight="1" s="59"/>
    <row r="186" ht="15.75" customHeight="1" s="59"/>
    <row r="187" ht="15.75" customHeight="1" s="59"/>
    <row r="188" ht="15.75" customHeight="1" s="59"/>
    <row r="189" ht="15.75" customHeight="1" s="59"/>
    <row r="190" ht="15.75" customHeight="1" s="59"/>
    <row r="191" ht="15.75" customHeight="1" s="59"/>
    <row r="192" ht="15.75" customHeight="1" s="59"/>
    <row r="193" ht="15.75" customHeight="1" s="59"/>
    <row r="194" ht="15.75" customHeight="1" s="59"/>
    <row r="195" ht="15.75" customHeight="1" s="59"/>
    <row r="196" ht="15.75" customHeight="1" s="59"/>
    <row r="197" ht="15.75" customHeight="1" s="59"/>
    <row r="198" ht="15.75" customHeight="1" s="59"/>
    <row r="199" ht="15.75" customHeight="1" s="59"/>
    <row r="200" ht="15.75" customHeight="1" s="59"/>
    <row r="201" ht="15.75" customHeight="1" s="59"/>
    <row r="202" ht="15.75" customHeight="1" s="59"/>
    <row r="203" ht="15.75" customHeight="1" s="59"/>
    <row r="204" ht="15.75" customHeight="1" s="59"/>
    <row r="205" ht="15.75" customHeight="1" s="59"/>
    <row r="206" ht="15.75" customHeight="1" s="59"/>
    <row r="207" ht="15.75" customHeight="1" s="59"/>
    <row r="208" ht="15.75" customHeight="1" s="59"/>
    <row r="209" ht="15.75" customHeight="1" s="59"/>
    <row r="210" ht="15.75" customHeight="1" s="59"/>
    <row r="211" ht="15.75" customHeight="1" s="59"/>
    <row r="212" ht="15.75" customHeight="1" s="59"/>
    <row r="213" ht="15.75" customHeight="1" s="59"/>
    <row r="214" ht="15.75" customHeight="1" s="59"/>
    <row r="215" ht="15.75" customHeight="1" s="59"/>
    <row r="216" ht="15.75" customHeight="1" s="59"/>
    <row r="217" ht="15.75" customHeight="1" s="59"/>
    <row r="218" ht="15.75" customHeight="1" s="59"/>
    <row r="219" ht="15.75" customHeight="1" s="59"/>
    <row r="220" ht="15.75" customHeight="1" s="59"/>
    <row r="221" ht="15.75" customHeight="1" s="59"/>
    <row r="222" ht="15.75" customHeight="1" s="59"/>
    <row r="223" ht="15.75" customHeight="1" s="59"/>
    <row r="224" ht="15.75" customHeight="1" s="59"/>
    <row r="225" ht="15.75" customHeight="1" s="59"/>
    <row r="226" ht="15.75" customHeight="1" s="59"/>
    <row r="227" ht="15.75" customHeight="1" s="59"/>
    <row r="228" ht="15.75" customHeight="1" s="59"/>
    <row r="229" ht="15.75" customHeight="1" s="59"/>
    <row r="230" ht="15.75" customHeight="1" s="59"/>
    <row r="231" ht="15.75" customHeight="1" s="59"/>
    <row r="232" ht="15.75" customHeight="1" s="59"/>
    <row r="233" ht="15.75" customHeight="1" s="59"/>
    <row r="234" ht="15.75" customHeight="1" s="59"/>
    <row r="235" ht="15.75" customHeight="1" s="59"/>
    <row r="236" ht="15.75" customHeight="1" s="59"/>
    <row r="237" ht="15.75" customHeight="1" s="59"/>
    <row r="238" ht="15.75" customHeight="1" s="59"/>
    <row r="239" ht="15.75" customHeight="1" s="59"/>
    <row r="240" ht="15.75" customHeight="1" s="59"/>
    <row r="241" ht="15.75" customHeight="1" s="59"/>
    <row r="242" ht="15.75" customHeight="1" s="59"/>
    <row r="243" ht="15.75" customHeight="1" s="59"/>
    <row r="244" ht="15.75" customHeight="1" s="59"/>
    <row r="245" ht="15.75" customHeight="1" s="59"/>
    <row r="246" ht="15.75" customHeight="1" s="59"/>
    <row r="247" ht="15.75" customHeight="1" s="59"/>
    <row r="248" ht="15.75" customHeight="1" s="59"/>
    <row r="249" ht="15.75" customHeight="1" s="59"/>
    <row r="250" ht="15.75" customHeight="1" s="59"/>
    <row r="251" ht="15.75" customHeight="1" s="59"/>
    <row r="252" ht="15.75" customHeight="1" s="59"/>
    <row r="253" ht="15.75" customHeight="1" s="59"/>
    <row r="254" ht="15.75" customHeight="1" s="59"/>
    <row r="255" ht="15.75" customHeight="1" s="59"/>
    <row r="256" ht="15.75" customHeight="1" s="59"/>
    <row r="257" ht="15.75" customHeight="1" s="59"/>
    <row r="258" ht="15.75" customHeight="1" s="59"/>
    <row r="259" ht="15.75" customHeight="1" s="59"/>
    <row r="260" ht="15.75" customHeight="1" s="59"/>
    <row r="261" ht="15.75" customHeight="1" s="59"/>
    <row r="262" ht="15.75" customHeight="1" s="59"/>
    <row r="263" ht="15.75" customHeight="1" s="59"/>
    <row r="264" ht="15.75" customHeight="1" s="59"/>
    <row r="265" ht="15.75" customHeight="1" s="59"/>
    <row r="266" ht="15.75" customHeight="1" s="59"/>
    <row r="267" ht="15.75" customHeight="1" s="59"/>
    <row r="268" ht="15.75" customHeight="1" s="59"/>
    <row r="269" ht="15.75" customHeight="1" s="59"/>
    <row r="270" ht="15.75" customHeight="1" s="59"/>
    <row r="271" ht="15.75" customHeight="1" s="59"/>
    <row r="272" ht="15.75" customHeight="1" s="59"/>
    <row r="273" ht="15.75" customHeight="1" s="59"/>
    <row r="274" ht="15.75" customHeight="1" s="59"/>
    <row r="275" ht="15.75" customHeight="1" s="59"/>
    <row r="276" ht="15.75" customHeight="1" s="59"/>
    <row r="277" ht="15.75" customHeight="1" s="59"/>
    <row r="278" ht="15.75" customHeight="1" s="59"/>
    <row r="279" ht="15.75" customHeight="1" s="59"/>
    <row r="280" ht="15.75" customHeight="1" s="59"/>
    <row r="281" ht="15.75" customHeight="1" s="59"/>
    <row r="282" ht="15.75" customHeight="1" s="59"/>
    <row r="283" ht="15.75" customHeight="1" s="59"/>
    <row r="284" ht="15.75" customHeight="1" s="59"/>
    <row r="285" ht="15.75" customHeight="1" s="59"/>
    <row r="286" ht="15.75" customHeight="1" s="59"/>
    <row r="287" ht="15.75" customHeight="1" s="59"/>
    <row r="288" ht="15.75" customHeight="1" s="59"/>
    <row r="289" ht="15.75" customHeight="1" s="59"/>
    <row r="290" ht="15.75" customHeight="1" s="59"/>
    <row r="291" ht="15.75" customHeight="1" s="59"/>
    <row r="292" ht="15.75" customHeight="1" s="59"/>
    <row r="293" ht="15.75" customHeight="1" s="59"/>
    <row r="294" ht="15.75" customHeight="1" s="59"/>
    <row r="295" ht="15.75" customHeight="1" s="59"/>
    <row r="296" ht="15.75" customHeight="1" s="59"/>
    <row r="297" ht="15.75" customHeight="1" s="59"/>
    <row r="298" ht="15.75" customHeight="1" s="59"/>
    <row r="299" ht="15.75" customHeight="1" s="59"/>
    <row r="300" ht="15.75" customHeight="1" s="59"/>
    <row r="301" ht="15.75" customHeight="1" s="59"/>
    <row r="302" ht="15.75" customHeight="1" s="59"/>
    <row r="303" ht="15.75" customHeight="1" s="59"/>
    <row r="304" ht="15.75" customHeight="1" s="59"/>
    <row r="305" ht="15.75" customHeight="1" s="59"/>
    <row r="306" ht="15.75" customHeight="1" s="59"/>
    <row r="307" ht="15.75" customHeight="1" s="59"/>
    <row r="308" ht="15.75" customHeight="1" s="59"/>
    <row r="309" ht="15.75" customHeight="1" s="59"/>
    <row r="310" ht="15.75" customHeight="1" s="59"/>
    <row r="311" ht="15.75" customHeight="1" s="59"/>
    <row r="312" ht="15.75" customHeight="1" s="59"/>
    <row r="313" ht="15.75" customHeight="1" s="59"/>
    <row r="314" ht="15.75" customHeight="1" s="59"/>
    <row r="315" ht="15.75" customHeight="1" s="59"/>
    <row r="316" ht="15.75" customHeight="1" s="59"/>
    <row r="317" ht="15.75" customHeight="1" s="59"/>
    <row r="318" ht="15.75" customHeight="1" s="59"/>
    <row r="319" ht="15.75" customHeight="1" s="59"/>
    <row r="320" ht="15.75" customHeight="1" s="59"/>
    <row r="321" ht="15.75" customHeight="1" s="59"/>
    <row r="322" ht="15.75" customHeight="1" s="59"/>
    <row r="323" ht="15.75" customHeight="1" s="59"/>
    <row r="324" ht="15.75" customHeight="1" s="59"/>
    <row r="325" ht="15.75" customHeight="1" s="59"/>
    <row r="326" ht="15.75" customHeight="1" s="59"/>
    <row r="327" ht="15.75" customHeight="1" s="59"/>
    <row r="328" ht="15.75" customHeight="1" s="59"/>
    <row r="329" ht="15.75" customHeight="1" s="59"/>
    <row r="330" ht="15.75" customHeight="1" s="59"/>
    <row r="331" ht="15.75" customHeight="1" s="59"/>
    <row r="332" ht="15.75" customHeight="1" s="59"/>
    <row r="333" ht="15.75" customHeight="1" s="59"/>
    <row r="334" ht="15.75" customHeight="1" s="59"/>
    <row r="335" ht="15.75" customHeight="1" s="59"/>
    <row r="336" ht="15.75" customHeight="1" s="59"/>
    <row r="337" ht="15.75" customHeight="1" s="59"/>
    <row r="338" ht="15.75" customHeight="1" s="59"/>
    <row r="339" ht="15.75" customHeight="1" s="59"/>
    <row r="340" ht="15.75" customHeight="1" s="59"/>
    <row r="341" ht="15.75" customHeight="1" s="59"/>
    <row r="342" ht="15.75" customHeight="1" s="59"/>
    <row r="343" ht="15.75" customHeight="1" s="59"/>
    <row r="344" ht="15.75" customHeight="1" s="59"/>
    <row r="345" ht="15.75" customHeight="1" s="59"/>
    <row r="346" ht="15.75" customHeight="1" s="59"/>
    <row r="347" ht="15.75" customHeight="1" s="59"/>
    <row r="348" ht="15.75" customHeight="1" s="59"/>
    <row r="349" ht="15.75" customHeight="1" s="59"/>
    <row r="350" ht="15.75" customHeight="1" s="59"/>
    <row r="351" ht="15.75" customHeight="1" s="59"/>
    <row r="352" ht="15.75" customHeight="1" s="59"/>
    <row r="353" ht="15.75" customHeight="1" s="59"/>
    <row r="354" ht="15.75" customHeight="1" s="59"/>
    <row r="355" ht="15.75" customHeight="1" s="59"/>
    <row r="356" ht="15.75" customHeight="1" s="59"/>
    <row r="357" ht="15.75" customHeight="1" s="59"/>
    <row r="358" ht="15.75" customHeight="1" s="59"/>
    <row r="359" ht="15.75" customHeight="1" s="59"/>
    <row r="360" ht="15.75" customHeight="1" s="59"/>
    <row r="361" ht="15.75" customHeight="1" s="59"/>
    <row r="362" ht="15.75" customHeight="1" s="59"/>
    <row r="363" ht="15.75" customHeight="1" s="59"/>
    <row r="364" ht="15.75" customHeight="1" s="59"/>
    <row r="365" ht="15.75" customHeight="1" s="59"/>
    <row r="366" ht="15.75" customHeight="1" s="59"/>
    <row r="367" ht="15.75" customHeight="1" s="59"/>
    <row r="368" ht="15.75" customHeight="1" s="59"/>
    <row r="369" ht="15.75" customHeight="1" s="59"/>
    <row r="370" ht="15.75" customHeight="1" s="59"/>
    <row r="371" ht="15.75" customHeight="1" s="59"/>
    <row r="372" ht="15.75" customHeight="1" s="59"/>
    <row r="373" ht="15.75" customHeight="1" s="59"/>
    <row r="374" ht="15.75" customHeight="1" s="59"/>
    <row r="375" ht="15.75" customHeight="1" s="59"/>
    <row r="376" ht="15.75" customHeight="1" s="59"/>
    <row r="377" ht="15.75" customHeight="1" s="59"/>
    <row r="378" ht="15.75" customHeight="1" s="59"/>
    <row r="379" ht="15.75" customHeight="1" s="59"/>
    <row r="380" ht="15.75" customHeight="1" s="59"/>
    <row r="381" ht="15.75" customHeight="1" s="59"/>
    <row r="382" ht="15.75" customHeight="1" s="59"/>
    <row r="383" ht="15.75" customHeight="1" s="59"/>
    <row r="384" ht="15.75" customHeight="1" s="59"/>
    <row r="385" ht="15.75" customHeight="1" s="59"/>
    <row r="386" ht="15.75" customHeight="1" s="59"/>
    <row r="387" ht="15.75" customHeight="1" s="59"/>
    <row r="388" ht="15.75" customHeight="1" s="59"/>
    <row r="389" ht="15.75" customHeight="1" s="59"/>
    <row r="390" ht="15.75" customHeight="1" s="59"/>
    <row r="391" ht="15.75" customHeight="1" s="59"/>
    <row r="392" ht="15.75" customHeight="1" s="59"/>
    <row r="393" ht="15.75" customHeight="1" s="59"/>
    <row r="394" ht="15.75" customHeight="1" s="59"/>
    <row r="395" ht="15.75" customHeight="1" s="59"/>
    <row r="396" ht="15.75" customHeight="1" s="59"/>
    <row r="397" ht="15.75" customHeight="1" s="59"/>
    <row r="398" ht="15.75" customHeight="1" s="59"/>
    <row r="399" ht="15.75" customHeight="1" s="59"/>
    <row r="400" ht="15.75" customHeight="1" s="59"/>
    <row r="401" ht="15.75" customHeight="1" s="59"/>
    <row r="402" ht="15.75" customHeight="1" s="59"/>
    <row r="403" ht="15.75" customHeight="1" s="59"/>
    <row r="404" ht="15.75" customHeight="1" s="59"/>
    <row r="405" ht="15.75" customHeight="1" s="59"/>
    <row r="406" ht="15.75" customHeight="1" s="59"/>
    <row r="407" ht="15.75" customHeight="1" s="59"/>
    <row r="408" ht="15.75" customHeight="1" s="59"/>
    <row r="409" ht="15.75" customHeight="1" s="59"/>
    <row r="410" ht="15.75" customHeight="1" s="59"/>
    <row r="411" ht="15.75" customHeight="1" s="59"/>
    <row r="412" ht="15.75" customHeight="1" s="59"/>
    <row r="413" ht="15.75" customHeight="1" s="59"/>
    <row r="414" ht="15.75" customHeight="1" s="59"/>
    <row r="415" ht="15.75" customHeight="1" s="59"/>
    <row r="416" ht="15.75" customHeight="1" s="59"/>
    <row r="417" ht="15.75" customHeight="1" s="59"/>
    <row r="418" ht="15.75" customHeight="1" s="59"/>
    <row r="419" ht="15.75" customHeight="1" s="59"/>
    <row r="420" ht="15.75" customHeight="1" s="59"/>
    <row r="421" ht="15.75" customHeight="1" s="59"/>
    <row r="422" ht="15.75" customHeight="1" s="59"/>
    <row r="423" ht="15.75" customHeight="1" s="59"/>
    <row r="424" ht="15.75" customHeight="1" s="59"/>
    <row r="425" ht="15.75" customHeight="1" s="59"/>
    <row r="426" ht="15.75" customHeight="1" s="59"/>
    <row r="427" ht="15.75" customHeight="1" s="59"/>
    <row r="428" ht="15.75" customHeight="1" s="59"/>
    <row r="429" ht="15.75" customHeight="1" s="59"/>
    <row r="430" ht="15.75" customHeight="1" s="59"/>
    <row r="431" ht="15.75" customHeight="1" s="59"/>
    <row r="432" ht="15.75" customHeight="1" s="59"/>
    <row r="433" ht="15.75" customHeight="1" s="59"/>
    <row r="434" ht="15.75" customHeight="1" s="59"/>
    <row r="435" ht="15.75" customHeight="1" s="59"/>
    <row r="436" ht="15.75" customHeight="1" s="59"/>
    <row r="437" ht="15.75" customHeight="1" s="59"/>
    <row r="438" ht="15.75" customHeight="1" s="59"/>
    <row r="439" ht="15.75" customHeight="1" s="59"/>
    <row r="440" ht="15.75" customHeight="1" s="59"/>
    <row r="441" ht="15.75" customHeight="1" s="59"/>
    <row r="442" ht="15.75" customHeight="1" s="59"/>
    <row r="443" ht="15.75" customHeight="1" s="59"/>
    <row r="444" ht="15.75" customHeight="1" s="59"/>
    <row r="445" ht="15.75" customHeight="1" s="59"/>
    <row r="446" ht="15.75" customHeight="1" s="59"/>
    <row r="447" ht="15.75" customHeight="1" s="59"/>
    <row r="448" ht="15.75" customHeight="1" s="59"/>
    <row r="449" ht="15.75" customHeight="1" s="59"/>
    <row r="450" ht="15.75" customHeight="1" s="59"/>
    <row r="451" ht="15.75" customHeight="1" s="59"/>
    <row r="452" ht="15.75" customHeight="1" s="59"/>
    <row r="453" ht="15.75" customHeight="1" s="59"/>
    <row r="454" ht="15.75" customHeight="1" s="59"/>
    <row r="455" ht="15.75" customHeight="1" s="59"/>
    <row r="456" ht="15.75" customHeight="1" s="59"/>
    <row r="457" ht="15.75" customHeight="1" s="59"/>
    <row r="458" ht="15.75" customHeight="1" s="59"/>
    <row r="459" ht="15.75" customHeight="1" s="59"/>
    <row r="460" ht="15.75" customHeight="1" s="59"/>
    <row r="461" ht="15.75" customHeight="1" s="59"/>
    <row r="462" ht="15.75" customHeight="1" s="59"/>
    <row r="463" ht="15.75" customHeight="1" s="59"/>
    <row r="464" ht="15.75" customHeight="1" s="59"/>
    <row r="465" ht="15.75" customHeight="1" s="59"/>
    <row r="466" ht="15.75" customHeight="1" s="59"/>
    <row r="467" ht="15.75" customHeight="1" s="59"/>
    <row r="468" ht="15.75" customHeight="1" s="59"/>
    <row r="469" ht="15.75" customHeight="1" s="59"/>
    <row r="470" ht="15.75" customHeight="1" s="59"/>
    <row r="471" ht="15.75" customHeight="1" s="59"/>
    <row r="472" ht="15.75" customHeight="1" s="59"/>
    <row r="473" ht="15.75" customHeight="1" s="59"/>
    <row r="474" ht="15.75" customHeight="1" s="59"/>
    <row r="475" ht="15.75" customHeight="1" s="59"/>
    <row r="476" ht="15.75" customHeight="1" s="59"/>
    <row r="477" ht="15.75" customHeight="1" s="59"/>
    <row r="478" ht="15.75" customHeight="1" s="59"/>
    <row r="479" ht="15.75" customHeight="1" s="59"/>
    <row r="480" ht="15.75" customHeight="1" s="59"/>
    <row r="481" ht="15.75" customHeight="1" s="59"/>
    <row r="482" ht="15.75" customHeight="1" s="59"/>
    <row r="483" ht="15.75" customHeight="1" s="59"/>
    <row r="484" ht="15.75" customHeight="1" s="59"/>
    <row r="485" ht="15.75" customHeight="1" s="59"/>
    <row r="486" ht="15.75" customHeight="1" s="59"/>
    <row r="487" ht="15.75" customHeight="1" s="59"/>
    <row r="488" ht="15.75" customHeight="1" s="59"/>
    <row r="489" ht="15.75" customHeight="1" s="59"/>
    <row r="490" ht="15.75" customHeight="1" s="59"/>
    <row r="491" ht="15.75" customHeight="1" s="59"/>
    <row r="492" ht="15.75" customHeight="1" s="59"/>
    <row r="493" ht="15.75" customHeight="1" s="59"/>
    <row r="494" ht="15.75" customHeight="1" s="59"/>
    <row r="495" ht="15.75" customHeight="1" s="59"/>
    <row r="496" ht="15.75" customHeight="1" s="59"/>
    <row r="497" ht="15.75" customHeight="1" s="59"/>
    <row r="498" ht="15.75" customHeight="1" s="59"/>
    <row r="499" ht="15.75" customHeight="1" s="59"/>
    <row r="500" ht="15.75" customHeight="1" s="59"/>
    <row r="501" ht="15.75" customHeight="1" s="59"/>
    <row r="502" ht="15.75" customHeight="1" s="59"/>
    <row r="503" ht="15.75" customHeight="1" s="59"/>
    <row r="504" ht="15.75" customHeight="1" s="59"/>
    <row r="505" ht="15.75" customHeight="1" s="59"/>
    <row r="506" ht="15.75" customHeight="1" s="59"/>
    <row r="507" ht="15.75" customHeight="1" s="59"/>
    <row r="508" ht="15.75" customHeight="1" s="59"/>
    <row r="509" ht="15.75" customHeight="1" s="59"/>
    <row r="510" ht="15.75" customHeight="1" s="59"/>
    <row r="511" ht="15.75" customHeight="1" s="59"/>
    <row r="512" ht="15.75" customHeight="1" s="59"/>
    <row r="513" ht="15.75" customHeight="1" s="59"/>
    <row r="514" ht="15.75" customHeight="1" s="59"/>
    <row r="515" ht="15.75" customHeight="1" s="59"/>
    <row r="516" ht="15.75" customHeight="1" s="59"/>
    <row r="517" ht="15.75" customHeight="1" s="59"/>
    <row r="518" ht="15.75" customHeight="1" s="59"/>
    <row r="519" ht="15.75" customHeight="1" s="59"/>
    <row r="520" ht="15.75" customHeight="1" s="59"/>
    <row r="521" ht="15.75" customHeight="1" s="59"/>
    <row r="522" ht="15.75" customHeight="1" s="59"/>
    <row r="523" ht="15.75" customHeight="1" s="59"/>
    <row r="524" ht="15.75" customHeight="1" s="59"/>
    <row r="525" ht="15.75" customHeight="1" s="59"/>
    <row r="526" ht="15.75" customHeight="1" s="59"/>
    <row r="527" ht="15.75" customHeight="1" s="59"/>
    <row r="528" ht="15.75" customHeight="1" s="59"/>
    <row r="529" ht="15.75" customHeight="1" s="59"/>
    <row r="530" ht="15.75" customHeight="1" s="59"/>
    <row r="531" ht="15.75" customHeight="1" s="59"/>
    <row r="532" ht="15.75" customHeight="1" s="59"/>
    <row r="533" ht="15.75" customHeight="1" s="59"/>
    <row r="534" ht="15.75" customHeight="1" s="59"/>
    <row r="535" ht="15.75" customHeight="1" s="59"/>
    <row r="536" ht="15.75" customHeight="1" s="59"/>
    <row r="537" ht="15.75" customHeight="1" s="59"/>
    <row r="538" ht="15.75" customHeight="1" s="59"/>
    <row r="539" ht="15.75" customHeight="1" s="59"/>
    <row r="540" ht="15.75" customHeight="1" s="59"/>
    <row r="541" ht="15.75" customHeight="1" s="59"/>
    <row r="542" ht="15.75" customHeight="1" s="59"/>
    <row r="543" ht="15.75" customHeight="1" s="59"/>
    <row r="544" ht="15.75" customHeight="1" s="59"/>
    <row r="545" ht="15.75" customHeight="1" s="59"/>
    <row r="546" ht="15.75" customHeight="1" s="59"/>
    <row r="547" ht="15.75" customHeight="1" s="59"/>
    <row r="548" ht="15.75" customHeight="1" s="59"/>
    <row r="549" ht="15.75" customHeight="1" s="59"/>
    <row r="550" ht="15.75" customHeight="1" s="59"/>
    <row r="551" ht="15.75" customHeight="1" s="59"/>
    <row r="552" ht="15.75" customHeight="1" s="59"/>
    <row r="553" ht="15.75" customHeight="1" s="59"/>
    <row r="554" ht="15.75" customHeight="1" s="59"/>
    <row r="555" ht="15.75" customHeight="1" s="59"/>
    <row r="556" ht="15.75" customHeight="1" s="59"/>
    <row r="557" ht="15.75" customHeight="1" s="59"/>
    <row r="558" ht="15.75" customHeight="1" s="59"/>
    <row r="559" ht="15.75" customHeight="1" s="59"/>
    <row r="560" ht="15.75" customHeight="1" s="59"/>
    <row r="561" ht="15.75" customHeight="1" s="59"/>
    <row r="562" ht="15.75" customHeight="1" s="59"/>
    <row r="563" ht="15.75" customHeight="1" s="59"/>
    <row r="564" ht="15.75" customHeight="1" s="59"/>
    <row r="565" ht="15.75" customHeight="1" s="59"/>
    <row r="566" ht="15.75" customHeight="1" s="59"/>
    <row r="567" ht="15.75" customHeight="1" s="59"/>
    <row r="568" ht="15.75" customHeight="1" s="59"/>
    <row r="569" ht="15.75" customHeight="1" s="59"/>
    <row r="570" ht="15.75" customHeight="1" s="59"/>
    <row r="571" ht="15.75" customHeight="1" s="59"/>
    <row r="572" ht="15.75" customHeight="1" s="59"/>
    <row r="573" ht="15.75" customHeight="1" s="59"/>
    <row r="574" ht="15.75" customHeight="1" s="59"/>
    <row r="575" ht="15.75" customHeight="1" s="59"/>
    <row r="576" ht="15.75" customHeight="1" s="59"/>
    <row r="577" ht="15.75" customHeight="1" s="59"/>
    <row r="578" ht="15.75" customHeight="1" s="59"/>
    <row r="579" ht="15.75" customHeight="1" s="59"/>
    <row r="580" ht="15.75" customHeight="1" s="59"/>
    <row r="581" ht="15.75" customHeight="1" s="59"/>
    <row r="582" ht="15.75" customHeight="1" s="59"/>
    <row r="583" ht="15.75" customHeight="1" s="59"/>
    <row r="584" ht="15.75" customHeight="1" s="59"/>
    <row r="585" ht="15.75" customHeight="1" s="59"/>
    <row r="586" ht="15.75" customHeight="1" s="59"/>
    <row r="587" ht="15.75" customHeight="1" s="59"/>
    <row r="588" ht="15.75" customHeight="1" s="59"/>
    <row r="589" ht="15.75" customHeight="1" s="59"/>
    <row r="590" ht="15.75" customHeight="1" s="59"/>
    <row r="591" ht="15.75" customHeight="1" s="59"/>
    <row r="592" ht="15.75" customHeight="1" s="59"/>
    <row r="593" ht="15.75" customHeight="1" s="59"/>
    <row r="594" ht="15.75" customHeight="1" s="59"/>
    <row r="595" ht="15.75" customHeight="1" s="59"/>
    <row r="596" ht="15.75" customHeight="1" s="59"/>
    <row r="597" ht="15.75" customHeight="1" s="59"/>
    <row r="598" ht="15.75" customHeight="1" s="59"/>
    <row r="599" ht="15.75" customHeight="1" s="59"/>
    <row r="600" ht="15.75" customHeight="1" s="59"/>
    <row r="601" ht="15.75" customHeight="1" s="59"/>
    <row r="602" ht="15.75" customHeight="1" s="59"/>
    <row r="603" ht="15.75" customHeight="1" s="59"/>
    <row r="604" ht="15.75" customHeight="1" s="59"/>
    <row r="605" ht="15.75" customHeight="1" s="59"/>
    <row r="606" ht="15.75" customHeight="1" s="59"/>
    <row r="607" ht="15.75" customHeight="1" s="59"/>
    <row r="608" ht="15.75" customHeight="1" s="59"/>
    <row r="609" ht="15.75" customHeight="1" s="59"/>
    <row r="610" ht="15.75" customHeight="1" s="59"/>
    <row r="611" ht="15.75" customHeight="1" s="59"/>
    <row r="612" ht="15.75" customHeight="1" s="59"/>
    <row r="613" ht="15.75" customHeight="1" s="59"/>
    <row r="614" ht="15.75" customHeight="1" s="59"/>
    <row r="615" ht="15.75" customHeight="1" s="59"/>
    <row r="616" ht="15.75" customHeight="1" s="59"/>
    <row r="617" ht="15.75" customHeight="1" s="59"/>
    <row r="618" ht="15.75" customHeight="1" s="59"/>
    <row r="619" ht="15.75" customHeight="1" s="59"/>
    <row r="620" ht="15.75" customHeight="1" s="59"/>
    <row r="621" ht="15.75" customHeight="1" s="59"/>
    <row r="622" ht="15.75" customHeight="1" s="59"/>
    <row r="623" ht="15.75" customHeight="1" s="59"/>
    <row r="624" ht="15.75" customHeight="1" s="59"/>
    <row r="625" ht="15.75" customHeight="1" s="59"/>
    <row r="626" ht="15.75" customHeight="1" s="59"/>
    <row r="627" ht="15.75" customHeight="1" s="59"/>
    <row r="628" ht="15.75" customHeight="1" s="59"/>
    <row r="629" ht="15.75" customHeight="1" s="59"/>
    <row r="630" ht="15.75" customHeight="1" s="59"/>
    <row r="631" ht="15.75" customHeight="1" s="59"/>
    <row r="632" ht="15.75" customHeight="1" s="59"/>
    <row r="633" ht="15.75" customHeight="1" s="59"/>
    <row r="634" ht="15.75" customHeight="1" s="59"/>
    <row r="635" ht="15.75" customHeight="1" s="59"/>
    <row r="636" ht="15.75" customHeight="1" s="59"/>
    <row r="637" ht="15.75" customHeight="1" s="59"/>
    <row r="638" ht="15.75" customHeight="1" s="59"/>
    <row r="639" ht="15.75" customHeight="1" s="59"/>
    <row r="640" ht="15.75" customHeight="1" s="59"/>
    <row r="641" ht="15.75" customHeight="1" s="59"/>
    <row r="642" ht="15.75" customHeight="1" s="59"/>
    <row r="643" ht="15.75" customHeight="1" s="59"/>
    <row r="644" ht="15.75" customHeight="1" s="59"/>
    <row r="645" ht="15.75" customHeight="1" s="59"/>
    <row r="646" ht="15.75" customHeight="1" s="59"/>
    <row r="647" ht="15.75" customHeight="1" s="59"/>
    <row r="648" ht="15.75" customHeight="1" s="59"/>
    <row r="649" ht="15.75" customHeight="1" s="59"/>
    <row r="650" ht="15.75" customHeight="1" s="59"/>
    <row r="651" ht="15.75" customHeight="1" s="59"/>
    <row r="652" ht="15.75" customHeight="1" s="59"/>
    <row r="653" ht="15.75" customHeight="1" s="59"/>
    <row r="654" ht="15.75" customHeight="1" s="59"/>
    <row r="655" ht="15.75" customHeight="1" s="59"/>
    <row r="656" ht="15.75" customHeight="1" s="59"/>
    <row r="657" ht="15.75" customHeight="1" s="59"/>
    <row r="658" ht="15.75" customHeight="1" s="59"/>
    <row r="659" ht="15.75" customHeight="1" s="59"/>
    <row r="660" ht="15.75" customHeight="1" s="59"/>
    <row r="661" ht="15.75" customHeight="1" s="59"/>
    <row r="662" ht="15.75" customHeight="1" s="59"/>
    <row r="663" ht="15.75" customHeight="1" s="59"/>
    <row r="664" ht="15.75" customHeight="1" s="59"/>
    <row r="665" ht="15.75" customHeight="1" s="59"/>
    <row r="666" ht="15.75" customHeight="1" s="59"/>
    <row r="667" ht="15.75" customHeight="1" s="59"/>
    <row r="668" ht="15.75" customHeight="1" s="59"/>
    <row r="669" ht="15.75" customHeight="1" s="59"/>
    <row r="670" ht="15.75" customHeight="1" s="59"/>
    <row r="671" ht="15.75" customHeight="1" s="59"/>
    <row r="672" ht="15.75" customHeight="1" s="59"/>
    <row r="673" ht="15.75" customHeight="1" s="59"/>
    <row r="674" ht="15.75" customHeight="1" s="59"/>
    <row r="675" ht="15.75" customHeight="1" s="59"/>
    <row r="676" ht="15.75" customHeight="1" s="59"/>
    <row r="677" ht="15.75" customHeight="1" s="59"/>
    <row r="678" ht="15.75" customHeight="1" s="59"/>
    <row r="679" ht="15.75" customHeight="1" s="59"/>
    <row r="680" ht="15.75" customHeight="1" s="59"/>
    <row r="681" ht="15.75" customHeight="1" s="59"/>
    <row r="682" ht="15.75" customHeight="1" s="59"/>
    <row r="683" ht="15.75" customHeight="1" s="59"/>
    <row r="684" ht="15.75" customHeight="1" s="59"/>
    <row r="685" ht="15.75" customHeight="1" s="59"/>
    <row r="686" ht="15.75" customHeight="1" s="59"/>
    <row r="687" ht="15.75" customHeight="1" s="59"/>
    <row r="688" ht="15.75" customHeight="1" s="59"/>
    <row r="689" ht="15.75" customHeight="1" s="59"/>
    <row r="690" ht="15.75" customHeight="1" s="59"/>
    <row r="691" ht="15.75" customHeight="1" s="59"/>
    <row r="692" ht="15.75" customHeight="1" s="59"/>
    <row r="693" ht="15.75" customHeight="1" s="59"/>
    <row r="694" ht="15.75" customHeight="1" s="59"/>
    <row r="695" ht="15.75" customHeight="1" s="59"/>
    <row r="696" ht="15.75" customHeight="1" s="59"/>
    <row r="697" ht="15.75" customHeight="1" s="59"/>
    <row r="698" ht="15.75" customHeight="1" s="59"/>
    <row r="699" ht="15.75" customHeight="1" s="59"/>
    <row r="700" ht="15.75" customHeight="1" s="59"/>
    <row r="701" ht="15.75" customHeight="1" s="59"/>
    <row r="702" ht="15.75" customHeight="1" s="59"/>
    <row r="703" ht="15.75" customHeight="1" s="59"/>
    <row r="704" ht="15.75" customHeight="1" s="59"/>
    <row r="705" ht="15.75" customHeight="1" s="59"/>
    <row r="706" ht="15.75" customHeight="1" s="59"/>
    <row r="707" ht="15.75" customHeight="1" s="59"/>
    <row r="708" ht="15.75" customHeight="1" s="59"/>
    <row r="709" ht="15.75" customHeight="1" s="59"/>
    <row r="710" ht="15.75" customHeight="1" s="59"/>
    <row r="711" ht="15.75" customHeight="1" s="59"/>
    <row r="712" ht="15.75" customHeight="1" s="59"/>
    <row r="713" ht="15.75" customHeight="1" s="59"/>
    <row r="714" ht="15.75" customHeight="1" s="59"/>
    <row r="715" ht="15.75" customHeight="1" s="59"/>
    <row r="716" ht="15.75" customHeight="1" s="59"/>
    <row r="717" ht="15.75" customHeight="1" s="59"/>
    <row r="718" ht="15.75" customHeight="1" s="59"/>
    <row r="719" ht="15.75" customHeight="1" s="59"/>
    <row r="720" ht="15.75" customHeight="1" s="59"/>
    <row r="721" ht="15.75" customHeight="1" s="59"/>
    <row r="722" ht="15.75" customHeight="1" s="59"/>
    <row r="723" ht="15.75" customHeight="1" s="59"/>
    <row r="724" ht="15.75" customHeight="1" s="59"/>
    <row r="725" ht="15.75" customHeight="1" s="59"/>
    <row r="726" ht="15.75" customHeight="1" s="59"/>
    <row r="727" ht="15.75" customHeight="1" s="59"/>
    <row r="728" ht="15.75" customHeight="1" s="59"/>
    <row r="729" ht="15.75" customHeight="1" s="59"/>
    <row r="730" ht="15.75" customHeight="1" s="59"/>
    <row r="731" ht="15.75" customHeight="1" s="59"/>
    <row r="732" ht="15.75" customHeight="1" s="59"/>
    <row r="733" ht="15.75" customHeight="1" s="59"/>
    <row r="734" ht="15.75" customHeight="1" s="59"/>
    <row r="735" ht="15.75" customHeight="1" s="59"/>
    <row r="736" ht="15.75" customHeight="1" s="59"/>
    <row r="737" ht="15.75" customHeight="1" s="59"/>
    <row r="738" ht="15.75" customHeight="1" s="59"/>
    <row r="739" ht="15.75" customHeight="1" s="59"/>
    <row r="740" ht="15.75" customHeight="1" s="59"/>
    <row r="741" ht="15.75" customHeight="1" s="59"/>
    <row r="742" ht="15.75" customHeight="1" s="59"/>
    <row r="743" ht="15.75" customHeight="1" s="59"/>
    <row r="744" ht="15.75" customHeight="1" s="59"/>
    <row r="745" ht="15.75" customHeight="1" s="59"/>
    <row r="746" ht="15.75" customHeight="1" s="59"/>
    <row r="747" ht="15.75" customHeight="1" s="59"/>
    <row r="748" ht="15.75" customHeight="1" s="59"/>
    <row r="749" ht="15.75" customHeight="1" s="59"/>
    <row r="750" ht="15.75" customHeight="1" s="59"/>
    <row r="751" ht="15.75" customHeight="1" s="59"/>
    <row r="752" ht="15.75" customHeight="1" s="59"/>
    <row r="753" ht="15.75" customHeight="1" s="59"/>
    <row r="754" ht="15.75" customHeight="1" s="59"/>
    <row r="755" ht="15.75" customHeight="1" s="59"/>
    <row r="756" ht="15.75" customHeight="1" s="59"/>
    <row r="757" ht="15.75" customHeight="1" s="59"/>
    <row r="758" ht="15.75" customHeight="1" s="59"/>
    <row r="759" ht="15.75" customHeight="1" s="59"/>
    <row r="760" ht="15.75" customHeight="1" s="59"/>
    <row r="761" ht="15.75" customHeight="1" s="59"/>
    <row r="762" ht="15.75" customHeight="1" s="59"/>
    <row r="763" ht="15.75" customHeight="1" s="59"/>
    <row r="764" ht="15.75" customHeight="1" s="59"/>
    <row r="765" ht="15.75" customHeight="1" s="59"/>
    <row r="766" ht="15.75" customHeight="1" s="59"/>
    <row r="767" ht="15.75" customHeight="1" s="59"/>
    <row r="768" ht="15.75" customHeight="1" s="59"/>
    <row r="769" ht="15.75" customHeight="1" s="59"/>
    <row r="770" ht="15.75" customHeight="1" s="59"/>
    <row r="771" ht="15.75" customHeight="1" s="59"/>
    <row r="772" ht="15.75" customHeight="1" s="59"/>
    <row r="773" ht="15.75" customHeight="1" s="59"/>
    <row r="774" ht="15.75" customHeight="1" s="59"/>
    <row r="775" ht="15.75" customHeight="1" s="59"/>
    <row r="776" ht="15.75" customHeight="1" s="59"/>
    <row r="777" ht="15.75" customHeight="1" s="59"/>
    <row r="778" ht="15.75" customHeight="1" s="59"/>
    <row r="779" ht="15.75" customHeight="1" s="59"/>
    <row r="780" ht="15.75" customHeight="1" s="59"/>
    <row r="781" ht="15.75" customHeight="1" s="59"/>
    <row r="782" ht="15.75" customHeight="1" s="59"/>
    <row r="783" ht="15.75" customHeight="1" s="59"/>
    <row r="784" ht="15.75" customHeight="1" s="59"/>
    <row r="785" ht="15.75" customHeight="1" s="59"/>
    <row r="786" ht="15.75" customHeight="1" s="59"/>
    <row r="787" ht="15.75" customHeight="1" s="59"/>
    <row r="788" ht="15.75" customHeight="1" s="59"/>
    <row r="789" ht="15.75" customHeight="1" s="59"/>
    <row r="790" ht="15.75" customHeight="1" s="59"/>
    <row r="791" ht="15.75" customHeight="1" s="59"/>
    <row r="792" ht="15.75" customHeight="1" s="59"/>
    <row r="793" ht="15.75" customHeight="1" s="59"/>
    <row r="794" ht="15.75" customHeight="1" s="59"/>
    <row r="795" ht="15.75" customHeight="1" s="59"/>
    <row r="796" ht="15.75" customHeight="1" s="59"/>
    <row r="797" ht="15.75" customHeight="1" s="59"/>
    <row r="798" ht="15.75" customHeight="1" s="59"/>
    <row r="799" ht="15.75" customHeight="1" s="59"/>
    <row r="800" ht="15.75" customHeight="1" s="59"/>
    <row r="801" ht="15.75" customHeight="1" s="59"/>
    <row r="802" ht="15.75" customHeight="1" s="59"/>
    <row r="803" ht="15.75" customHeight="1" s="59"/>
    <row r="804" ht="15.75" customHeight="1" s="59"/>
    <row r="805" ht="15.75" customHeight="1" s="59"/>
    <row r="806" ht="15.75" customHeight="1" s="59"/>
    <row r="807" ht="15.75" customHeight="1" s="59"/>
    <row r="808" ht="15.75" customHeight="1" s="59"/>
    <row r="809" ht="15.75" customHeight="1" s="59"/>
    <row r="810" ht="15.75" customHeight="1" s="59"/>
    <row r="811" ht="15.75" customHeight="1" s="59"/>
    <row r="812" ht="15.75" customHeight="1" s="59"/>
    <row r="813" ht="15.75" customHeight="1" s="59"/>
    <row r="814" ht="15.75" customHeight="1" s="59"/>
    <row r="815" ht="15.75" customHeight="1" s="59"/>
    <row r="816" ht="15.75" customHeight="1" s="59"/>
    <row r="817" ht="15.75" customHeight="1" s="59"/>
    <row r="818" ht="15.75" customHeight="1" s="59"/>
    <row r="819" ht="15.75" customHeight="1" s="59"/>
    <row r="820" ht="15.75" customHeight="1" s="59"/>
    <row r="821" ht="15.75" customHeight="1" s="59"/>
    <row r="822" ht="15.75" customHeight="1" s="59"/>
    <row r="823" ht="15.75" customHeight="1" s="59"/>
    <row r="824" ht="15.75" customHeight="1" s="59"/>
    <row r="825" ht="15.75" customHeight="1" s="59"/>
    <row r="826" ht="15.75" customHeight="1" s="59"/>
    <row r="827" ht="15.75" customHeight="1" s="59"/>
    <row r="828" ht="15.75" customHeight="1" s="59"/>
    <row r="829" ht="15.75" customHeight="1" s="59"/>
    <row r="830" ht="15.75" customHeight="1" s="59"/>
    <row r="831" ht="15.75" customHeight="1" s="59"/>
    <row r="832" ht="15.75" customHeight="1" s="59"/>
    <row r="833" ht="15.75" customHeight="1" s="59"/>
    <row r="834" ht="15.75" customHeight="1" s="59"/>
    <row r="835" ht="15.75" customHeight="1" s="59"/>
    <row r="836" ht="15.75" customHeight="1" s="59"/>
    <row r="837" ht="15.75" customHeight="1" s="59"/>
    <row r="838" ht="15.75" customHeight="1" s="59"/>
    <row r="839" ht="15.75" customHeight="1" s="59"/>
    <row r="840" ht="15.75" customHeight="1" s="59"/>
    <row r="841" ht="15.75" customHeight="1" s="59"/>
    <row r="842" ht="15.75" customHeight="1" s="59"/>
    <row r="843" ht="15.75" customHeight="1" s="59"/>
    <row r="844" ht="15.75" customHeight="1" s="59"/>
    <row r="845" ht="15.75" customHeight="1" s="59"/>
    <row r="846" ht="15.75" customHeight="1" s="59"/>
    <row r="847" ht="15.75" customHeight="1" s="59"/>
    <row r="848" ht="15.75" customHeight="1" s="59"/>
    <row r="849" ht="15.75" customHeight="1" s="59"/>
    <row r="850" ht="15.75" customHeight="1" s="59"/>
    <row r="851" ht="15.75" customHeight="1" s="59"/>
    <row r="852" ht="15.75" customHeight="1" s="59"/>
    <row r="853" ht="15.75" customHeight="1" s="59"/>
    <row r="854" ht="15.75" customHeight="1" s="59"/>
    <row r="855" ht="15.75" customHeight="1" s="59"/>
    <row r="856" ht="15.75" customHeight="1" s="59"/>
    <row r="857" ht="15.75" customHeight="1" s="59"/>
    <row r="858" ht="15.75" customHeight="1" s="59"/>
    <row r="859" ht="15.75" customHeight="1" s="59"/>
    <row r="860" ht="15.75" customHeight="1" s="59"/>
    <row r="861" ht="15.75" customHeight="1" s="59"/>
    <row r="862" ht="15.75" customHeight="1" s="59"/>
    <row r="863" ht="15.75" customHeight="1" s="59"/>
    <row r="864" ht="15.75" customHeight="1" s="59"/>
    <row r="865" ht="15.75" customHeight="1" s="59"/>
    <row r="866" ht="15.75" customHeight="1" s="59"/>
    <row r="867" ht="15.75" customHeight="1" s="59"/>
    <row r="868" ht="15.75" customHeight="1" s="59"/>
    <row r="869" ht="15.75" customHeight="1" s="59"/>
    <row r="870" ht="15.75" customHeight="1" s="59"/>
    <row r="871" ht="15.75" customHeight="1" s="59"/>
    <row r="872" ht="15.75" customHeight="1" s="59"/>
    <row r="873" ht="15.75" customHeight="1" s="59"/>
    <row r="874" ht="15.75" customHeight="1" s="59"/>
    <row r="875" ht="15.75" customHeight="1" s="59"/>
    <row r="876" ht="15.75" customHeight="1" s="59"/>
    <row r="877" ht="15.75" customHeight="1" s="59"/>
    <row r="878" ht="15.75" customHeight="1" s="59"/>
    <row r="879" ht="15.75" customHeight="1" s="59"/>
    <row r="880" ht="15.75" customHeight="1" s="59"/>
    <row r="881" ht="15.75" customHeight="1" s="59"/>
    <row r="882" ht="15.75" customHeight="1" s="59"/>
    <row r="883" ht="15.75" customHeight="1" s="59"/>
    <row r="884" ht="15.75" customHeight="1" s="59"/>
    <row r="885" ht="15.75" customHeight="1" s="59"/>
    <row r="886" ht="15.75" customHeight="1" s="59"/>
    <row r="887" ht="15.75" customHeight="1" s="59"/>
    <row r="888" ht="15.75" customHeight="1" s="59"/>
    <row r="889" ht="15.75" customHeight="1" s="59"/>
    <row r="890" ht="15.75" customHeight="1" s="59"/>
    <row r="891" ht="15.75" customHeight="1" s="59"/>
    <row r="892" ht="15.75" customHeight="1" s="59"/>
    <row r="893" ht="15.75" customHeight="1" s="59"/>
    <row r="894" ht="15.75" customHeight="1" s="59"/>
    <row r="895" ht="15.75" customHeight="1" s="59"/>
    <row r="896" ht="15.75" customHeight="1" s="59"/>
    <row r="897" ht="15.75" customHeight="1" s="59"/>
    <row r="898" ht="15.75" customHeight="1" s="59"/>
    <row r="899" ht="15.75" customHeight="1" s="59"/>
    <row r="900" ht="15.75" customHeight="1" s="59"/>
    <row r="901" ht="15.75" customHeight="1" s="59"/>
    <row r="902" ht="15.75" customHeight="1" s="59"/>
    <row r="903" ht="15.75" customHeight="1" s="59"/>
    <row r="904" ht="15.75" customHeight="1" s="59"/>
    <row r="905" ht="15.75" customHeight="1" s="59"/>
    <row r="906" ht="15.75" customHeight="1" s="59"/>
    <row r="907" ht="15.75" customHeight="1" s="59"/>
    <row r="908" ht="15.75" customHeight="1" s="59"/>
    <row r="909" ht="15.75" customHeight="1" s="59"/>
    <row r="910" ht="15.75" customHeight="1" s="59"/>
    <row r="911" ht="15.75" customHeight="1" s="59"/>
    <row r="912" ht="15.75" customHeight="1" s="59"/>
    <row r="913" ht="15.75" customHeight="1" s="59"/>
    <row r="914" ht="15.75" customHeight="1" s="59"/>
    <row r="915" ht="15.75" customHeight="1" s="59"/>
    <row r="916" ht="15.75" customHeight="1" s="59"/>
    <row r="917" ht="15.75" customHeight="1" s="59"/>
    <row r="918" ht="15.75" customHeight="1" s="59"/>
    <row r="919" ht="15.75" customHeight="1" s="59"/>
    <row r="920" ht="15.75" customHeight="1" s="59"/>
    <row r="921" ht="15.75" customHeight="1" s="59"/>
    <row r="922" ht="15.75" customHeight="1" s="59"/>
    <row r="923" ht="15.75" customHeight="1" s="59"/>
    <row r="924" ht="15.75" customHeight="1" s="59"/>
    <row r="925" ht="15.75" customHeight="1" s="59"/>
    <row r="926" ht="15.75" customHeight="1" s="59"/>
    <row r="927" ht="15.75" customHeight="1" s="59"/>
    <row r="928" ht="15.75" customHeight="1" s="59"/>
    <row r="929" ht="15.75" customHeight="1" s="59"/>
    <row r="930" ht="15.75" customHeight="1" s="59"/>
    <row r="931" ht="15.75" customHeight="1" s="59"/>
    <row r="932" ht="15.75" customHeight="1" s="59"/>
    <row r="933" ht="15.75" customHeight="1" s="59"/>
    <row r="934" ht="15.75" customHeight="1" s="59"/>
    <row r="935" ht="15.75" customHeight="1" s="59"/>
    <row r="936" ht="15.75" customHeight="1" s="59"/>
    <row r="937" ht="15.75" customHeight="1" s="59"/>
    <row r="938" ht="15.75" customHeight="1" s="59"/>
    <row r="939" ht="15.75" customHeight="1" s="59"/>
    <row r="940" ht="15.75" customHeight="1" s="59"/>
    <row r="941" ht="15.75" customHeight="1" s="59"/>
    <row r="942" ht="15.75" customHeight="1" s="59"/>
    <row r="943" ht="15.75" customHeight="1" s="59"/>
    <row r="944" ht="15.75" customHeight="1" s="59"/>
    <row r="945" ht="15.75" customHeight="1" s="59"/>
    <row r="946" ht="15.75" customHeight="1" s="59"/>
    <row r="947" ht="15.75" customHeight="1" s="59"/>
    <row r="948" ht="15.75" customHeight="1" s="59"/>
    <row r="949" ht="15.75" customHeight="1" s="59"/>
    <row r="950" ht="15.75" customHeight="1" s="59"/>
    <row r="951" ht="15.75" customHeight="1" s="59"/>
    <row r="952" ht="15.75" customHeight="1" s="59"/>
    <row r="953" ht="15.75" customHeight="1" s="59"/>
    <row r="954" ht="15.75" customHeight="1" s="59"/>
    <row r="955" ht="15.75" customHeight="1" s="59"/>
    <row r="956" ht="15.75" customHeight="1" s="59"/>
    <row r="957" ht="15.75" customHeight="1" s="59"/>
    <row r="958" ht="15.75" customHeight="1" s="59"/>
    <row r="959" ht="15.75" customHeight="1" s="59"/>
    <row r="960" ht="15.75" customHeight="1" s="59"/>
    <row r="961" ht="15.75" customHeight="1" s="59"/>
    <row r="962" ht="15.75" customHeight="1" s="59"/>
    <row r="963" ht="15.75" customHeight="1" s="59"/>
    <row r="964" ht="15.75" customHeight="1" s="59"/>
    <row r="965" ht="15.75" customHeight="1" s="59"/>
    <row r="966" ht="15.75" customHeight="1" s="59"/>
    <row r="967" ht="15.75" customHeight="1" s="59"/>
    <row r="968" ht="15.75" customHeight="1" s="59"/>
    <row r="969" ht="15.75" customHeight="1" s="59"/>
    <row r="970" ht="15.75" customHeight="1" s="59"/>
    <row r="971" ht="15.75" customHeight="1" s="59"/>
    <row r="972" ht="15.75" customHeight="1" s="59"/>
    <row r="973" ht="15.75" customHeight="1" s="59"/>
    <row r="974" ht="15.75" customHeight="1" s="59"/>
    <row r="975" ht="15.75" customHeight="1" s="59"/>
    <row r="976" ht="15.75" customHeight="1" s="59"/>
    <row r="977" ht="15.75" customHeight="1" s="59"/>
    <row r="978" ht="15.75" customHeight="1" s="59"/>
    <row r="979" ht="15.75" customHeight="1" s="59"/>
    <row r="980" ht="15.75" customHeight="1" s="59"/>
    <row r="981" ht="15.75" customHeight="1" s="59"/>
    <row r="982" ht="15.75" customHeight="1" s="59"/>
    <row r="983" ht="15.75" customHeight="1" s="59"/>
    <row r="984" ht="15.75" customHeight="1" s="59"/>
    <row r="985" ht="15.75" customHeight="1" s="59"/>
    <row r="986" ht="15.75" customHeight="1" s="59"/>
    <row r="987" ht="15.75" customHeight="1" s="59"/>
    <row r="988" ht="15.75" customHeight="1" s="59"/>
    <row r="989" ht="15.75" customHeight="1" s="59"/>
    <row r="990" ht="15.75" customHeight="1" s="59"/>
    <row r="991" ht="15.75" customHeight="1" s="59"/>
    <row r="992" ht="15.75" customHeight="1" s="59"/>
    <row r="993" ht="15.75" customHeight="1" s="59"/>
    <row r="994" ht="15.75" customHeight="1" s="59"/>
    <row r="995" ht="15.75" customHeight="1" s="59"/>
    <row r="996" ht="15.75" customHeight="1" s="59"/>
    <row r="997" ht="15.75" customHeight="1" s="59"/>
    <row r="998" ht="15.75" customHeight="1" s="59"/>
    <row r="999" ht="15.75" customHeight="1" s="59"/>
    <row r="1000" ht="15.75" customHeight="1" s="59"/>
  </sheetData>
  <mergeCells count="57">
    <mergeCell ref="D2:F2"/>
    <mergeCell ref="L69:R69"/>
    <mergeCell ref="G2:K2"/>
    <mergeCell ref="E69:G69"/>
    <mergeCell ref="E65:G65"/>
    <mergeCell ref="E78:G78"/>
    <mergeCell ref="L72:R72"/>
    <mergeCell ref="E74:G74"/>
    <mergeCell ref="A1:B1"/>
    <mergeCell ref="D7:F7"/>
    <mergeCell ref="A6:B6"/>
    <mergeCell ref="B12:C12"/>
    <mergeCell ref="E77:G77"/>
    <mergeCell ref="L65:R65"/>
    <mergeCell ref="G7:K7"/>
    <mergeCell ref="A7:B7"/>
    <mergeCell ref="B11:C11"/>
    <mergeCell ref="L77:R77"/>
    <mergeCell ref="L70:R70"/>
    <mergeCell ref="D4:F4"/>
    <mergeCell ref="D3:F3"/>
    <mergeCell ref="E70:G70"/>
    <mergeCell ref="B14:C14"/>
    <mergeCell ref="L67:R67"/>
    <mergeCell ref="G6:K6"/>
    <mergeCell ref="E76:G76"/>
    <mergeCell ref="A3:B3"/>
    <mergeCell ref="B13:C13"/>
    <mergeCell ref="L66:R66"/>
    <mergeCell ref="G3:K3"/>
    <mergeCell ref="E72:G72"/>
    <mergeCell ref="A2:B2"/>
    <mergeCell ref="L75:R75"/>
    <mergeCell ref="E66:G66"/>
    <mergeCell ref="L1:S8"/>
    <mergeCell ref="D5:F5"/>
    <mergeCell ref="E75:G75"/>
    <mergeCell ref="B10:C10"/>
    <mergeCell ref="A5:B5"/>
    <mergeCell ref="L78:R78"/>
    <mergeCell ref="G5:K5"/>
    <mergeCell ref="L68:R68"/>
    <mergeCell ref="E68:G68"/>
    <mergeCell ref="D1:F1"/>
    <mergeCell ref="G4:K4"/>
    <mergeCell ref="E71:G71"/>
    <mergeCell ref="L71:R71"/>
    <mergeCell ref="A4:B4"/>
    <mergeCell ref="L74:R74"/>
    <mergeCell ref="E67:G67"/>
    <mergeCell ref="G1:K1"/>
    <mergeCell ref="L64:R64"/>
    <mergeCell ref="E73:G73"/>
    <mergeCell ref="L73:R73"/>
    <mergeCell ref="E64:G64"/>
    <mergeCell ref="L76:R76"/>
    <mergeCell ref="D6:F6"/>
  </mergeCells>
  <conditionalFormatting sqref="S18:T42">
    <cfRule type="expression" priority="1" dxfId="0" stopIfTrue="0">
      <formula>AND($E18&lt;&gt;"",OR(S18="",S18=0,S18="rate?"))</formula>
    </cfRule>
  </conditionalFormatting>
  <conditionalFormatting sqref="S46:T60">
    <cfRule type="expression" priority="2" dxfId="0" stopIfTrue="0">
      <formula>AND($E46&lt;&gt;"",OR(S46="",S46=0,S46="rate?"))</formula>
    </cfRule>
  </conditionalFormatting>
  <conditionalFormatting sqref="S64:T78">
    <cfRule type="expression" priority="3" dxfId="0" stopIfTrue="0">
      <formula>AND($D64&lt;&gt;"",OR(S64="",S64=0))</formula>
    </cfRule>
  </conditionalFormatting>
  <dataValidations count="4">
    <dataValidation sqref="K18:K32" showDropDown="0" showInputMessage="0" showErrorMessage="0" allowBlank="1" type="list">
      <formula1>"A,A-CURVED,B,C,D"</formula1>
    </dataValidation>
    <dataValidation sqref="I46:I60" showDropDown="0" showInputMessage="0" showErrorMessage="0" allowBlank="1" type="list">
      <formula1>"0,1,2"</formula1>
    </dataValidation>
    <dataValidation sqref="C6 I18:J32 I35:I42" showDropDown="0" showInputMessage="1" showErrorMessage="1" allowBlank="1" errorTitle="Pilih dari daftar" error="Nilai di luar daftar; pilih dari dropdown agar rumus mengenalinya." type="list" errorStyle="warning">
      <formula1>"Y,N"</formula1>
    </dataValidation>
    <dataValidation sqref="B64:B78" showDropDown="0" showInputMessage="1" showErrorMessage="1" allowBlank="1" errorTitle="Pilih dari daftar" error="Nilai di luar daftar; pilih dari dropdown agar rumus mengenalinya." type="list" errorStyle="warning">
      <formula1>"I-00001,I-00002,I-00003,I-00004,I-00005,I-00006,I-00007,I-00008,I-00009,I-00010,DTC-SLIDE,DTC-SLIDE-10,DTC-HINGE,DTC-SLIDE-14,DTC-SLIDE-16,SLAT-BASE"</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69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style="59" min="1" max="1"/>
    <col width="52" customWidth="1" style="59" min="2" max="2"/>
    <col width="17" customWidth="1" style="59" min="3" max="3"/>
    <col width="11" customWidth="1" style="59" min="4" max="4"/>
    <col width="48" customWidth="1" style="59" min="5" max="5"/>
    <col width="22" customWidth="1" style="59" min="6" max="6"/>
    <col width="24" customWidth="1" style="59" min="7" max="7"/>
    <col width="16" customWidth="1" style="59" min="8" max="8"/>
    <col width="16" customWidth="1" style="59" min="9" max="9"/>
  </cols>
  <sheetData>
    <row r="1">
      <c r="A1" s="92" t="inlineStr">
        <is>
          <t>RATES: PLV BOM Rate Card 29 Sep 26 (rates_version 2026-09-29), with the 30 Sep changes: finishing split into four rates, 40 × 40 section rule</t>
        </is>
      </c>
      <c r="B1" s="93" t="n"/>
      <c r="C1" s="94" t="n"/>
      <c r="D1" s="95" t="n"/>
      <c r="E1" s="95" t="n"/>
      <c r="F1" s="95" t="n"/>
      <c r="G1" s="95" t="n"/>
      <c r="H1" s="95" t="n"/>
      <c r="I1" s="95" t="n"/>
    </row>
    <row r="2">
      <c r="A2" s="96" t="inlineStr">
        <is>
          <t>Blue = base figure (change it and every cost in this workbook follows). Black = formula. Item tabs look rates up by the code in column A. Only the rate owner edits this tab.</t>
        </is>
      </c>
      <c r="B2" s="93" t="n"/>
      <c r="C2" s="94" t="n"/>
      <c r="D2" s="95" t="n"/>
      <c r="E2" s="95" t="n"/>
      <c r="F2" s="95" t="n"/>
      <c r="G2" s="95" t="n"/>
      <c r="H2" s="95" t="n"/>
      <c r="I2" s="95" t="n"/>
    </row>
    <row r="3">
      <c r="A3" s="97" t="inlineStr">
        <is>
          <t>Same rate card as the PLV BOM Costing Workbook v3 (teak, mindi, meranti, plywood). Plywood keeps the Mojo Indah Sep 2026 rates; columns F and G show the Linyi Ocean landed quote of 16 Oct 2026 in USD and IDR for comparison. MDF, marine plywood (rows 170 onward) and DTC rails and hinges (rows 227–229) are priced from USD. Orange rows = rate with both a USD and an IDR price. No rates yet for oak / ash, oak veneer, rattan or metal frames.</t>
        </is>
      </c>
      <c r="B3" s="98" t="n"/>
      <c r="C3" s="98" t="n"/>
      <c r="D3" s="98" t="n"/>
      <c r="E3" s="98" t="n"/>
      <c r="F3" s="98" t="n"/>
      <c r="G3" s="98" t="n"/>
      <c r="H3" s="98" t="n"/>
      <c r="I3" s="98" t="n"/>
    </row>
    <row r="4" ht="32" customHeight="1" s="59">
      <c r="A4" s="99" t="inlineStr">
        <is>
          <t>code</t>
        </is>
      </c>
      <c r="B4" s="99" t="inlineStr">
        <is>
          <t>Description</t>
        </is>
      </c>
      <c r="C4" s="100" t="inlineStr">
        <is>
          <t>Value</t>
        </is>
      </c>
      <c r="D4" s="101" t="inlineStr">
        <is>
          <t>Unit</t>
        </is>
      </c>
      <c r="E4" s="99" t="inlineStr">
        <is>
          <t>Source</t>
        </is>
      </c>
      <c r="F4" s="99" t="inlineStr">
        <is>
          <t>Quote USD (Linyi Ocean landed, 16 Oct 2026)</t>
        </is>
      </c>
      <c r="G4" s="99" t="inlineStr">
        <is>
          <t>Quote IDR (USD × FX_USD)</t>
        </is>
      </c>
    </row>
    <row r="5">
      <c r="A5" s="97" t="inlineStr">
        <is>
          <t>BASE FIGURES: STMV (Standard Maldives) ledger, payroll and vendor lists</t>
        </is>
      </c>
      <c r="B5" s="98" t="n"/>
      <c r="C5" s="98" t="n"/>
      <c r="D5" s="98" t="n"/>
      <c r="E5" s="98" t="n"/>
      <c r="F5" s="98" t="n"/>
      <c r="G5" s="98" t="n"/>
      <c r="H5" s="98" t="n"/>
      <c r="I5" s="98" t="n"/>
    </row>
    <row r="6">
      <c r="A6" s="102" t="inlineStr">
        <is>
          <t>log_teak</t>
        </is>
      </c>
      <c r="B6" s="103" t="inlineStr">
        <is>
          <t>Teak log price, implied</t>
        </is>
      </c>
      <c r="C6" s="104" t="n">
        <v>6000000</v>
      </c>
      <c r="D6" s="96" t="inlineStr">
        <is>
          <t>IDR/m³</t>
        </is>
      </c>
      <c r="E6" s="96" t="inlineStr">
        <is>
          <t>Ledger 152.3m ÷ 14 m³. Status CONFIRM: replace with nota price</t>
        </is>
      </c>
      <c r="F6" s="95" t="n"/>
      <c r="G6" s="95" t="n"/>
      <c r="H6" s="95" t="n"/>
      <c r="I6" s="95" t="n"/>
    </row>
    <row r="7">
      <c r="A7" s="102" t="inlineStr">
        <is>
          <t>log_mindi</t>
        </is>
      </c>
      <c r="B7" s="103" t="inlineStr">
        <is>
          <t>Mindi log price, implied</t>
        </is>
      </c>
      <c r="C7" s="104" t="n">
        <v>3000000</v>
      </c>
      <c r="D7" s="96" t="inlineStr">
        <is>
          <t>IDR/m³</t>
        </is>
      </c>
      <c r="E7" s="96" t="inlineStr">
        <is>
          <t>Ledger 126.1m ÷ 41 m³. Status CONFIRM</t>
        </is>
      </c>
      <c r="F7" s="95" t="n"/>
      <c r="G7" s="95" t="n"/>
      <c r="H7" s="95" t="n"/>
      <c r="I7" s="95" t="n"/>
    </row>
    <row r="8">
      <c r="A8" s="102" t="inlineStr">
        <is>
          <t>meranti_sawn</t>
        </is>
      </c>
      <c r="B8" s="103" t="inlineStr">
        <is>
          <t>Meranti dry sawn timber</t>
        </is>
      </c>
      <c r="C8" s="104" t="n">
        <v>8500000</v>
      </c>
      <c r="D8" s="96" t="inlineStr">
        <is>
          <t>IDR/m³</t>
        </is>
      </c>
      <c r="E8" s="96" t="inlineStr">
        <is>
          <t>STMV BOM price. Status CONFIRM</t>
        </is>
      </c>
      <c r="F8" s="95" t="n"/>
      <c r="G8" s="95" t="n"/>
      <c r="H8" s="95" t="n"/>
      <c r="I8" s="95" t="n"/>
    </row>
    <row r="9">
      <c r="A9" s="102" t="inlineStr">
        <is>
          <t>processing</t>
        </is>
      </c>
      <c r="B9" s="103" t="inlineStr">
        <is>
          <t>Wood processing (kiln + sawmill + hauling + sawmill staff), per m³ of log</t>
        </is>
      </c>
      <c r="C9" s="104" t="n">
        <v>598978</v>
      </c>
      <c r="D9" s="96" t="inlineStr">
        <is>
          <t>IDR/m³</t>
        </is>
      </c>
      <c r="E9" s="96" t="inlineStr">
        <is>
          <t>Ledger ÷ 75.82 m³ teak + mindi</t>
        </is>
      </c>
      <c r="F9" s="95" t="n"/>
      <c r="G9" s="95" t="n"/>
      <c r="H9" s="95" t="n"/>
      <c r="I9" s="95" t="n"/>
    </row>
    <row r="10">
      <c r="A10" s="102" t="inlineStr">
        <is>
          <t>carp_pool</t>
        </is>
      </c>
      <c r="B10" s="103" t="inlineStr">
        <is>
          <t>Carpentry payroll pool Mar–Sep 2026</t>
        </is>
      </c>
      <c r="C10" s="105" t="n">
        <v>270175017</v>
      </c>
      <c r="D10" s="96" t="inlineStr">
        <is>
          <t>IDR</t>
        </is>
      </c>
      <c r="E10" s="96" t="inlineStr">
        <is>
          <t>Payroll categorised by name, 29 Sep</t>
        </is>
      </c>
      <c r="F10" s="95" t="n"/>
      <c r="G10" s="95" t="n"/>
      <c r="H10" s="95" t="n"/>
      <c r="I10" s="95" t="n"/>
    </row>
    <row r="11">
      <c r="A11" s="102" t="inlineStr">
        <is>
          <t>carp_deduct</t>
        </is>
      </c>
      <c r="B11" s="103" t="inlineStr">
        <is>
          <t>Less panel cutting / pressing (already in panel rate)</t>
        </is>
      </c>
      <c r="C11" s="106" t="n">
        <v>0.1</v>
      </c>
      <c r="D11" s="96" t="inlineStr">
        <is>
          <t>%</t>
        </is>
      </c>
      <c r="E11" s="96" t="inlineStr">
        <is>
          <t>Decision 29 Sep</t>
        </is>
      </c>
      <c r="F11" s="95" t="n"/>
      <c r="G11" s="95" t="n"/>
      <c r="H11" s="95" t="n"/>
      <c r="I11" s="95" t="n"/>
    </row>
    <row r="12">
      <c r="A12" s="102" t="inlineStr">
        <is>
          <t>comp_m3</t>
        </is>
      </c>
      <c r="B12" s="103" t="inlineStr">
        <is>
          <t>STMV solid wood in components (teak 12.21 + mindi 13.15 + meranti 7.20)</t>
        </is>
      </c>
      <c r="C12" s="107" t="n">
        <v>32.56</v>
      </c>
      <c r="D12" s="96" t="inlineStr">
        <is>
          <t>m³</t>
        </is>
      </c>
      <c r="E12" s="96" t="inlineStr">
        <is>
          <t>REVISI BOM 21 MEI 26</t>
        </is>
      </c>
      <c r="F12" s="95" t="n"/>
      <c r="G12" s="95" t="n"/>
      <c r="H12" s="95" t="n"/>
      <c r="I12" s="95" t="n"/>
    </row>
    <row r="13">
      <c r="A13" s="102" t="inlineStr">
        <is>
          <t>yield_A</t>
        </is>
      </c>
      <c r="B13" s="103" t="inlineStr">
        <is>
          <t>Yield factor tier A (exposed, straight, ≥ 1000 mm)</t>
        </is>
      </c>
      <c r="C13" s="107" t="n">
        <v>3.5</v>
      </c>
      <c r="D13" s="96" t="inlineStr">
        <is>
          <t>x</t>
        </is>
      </c>
      <c r="E13" s="96" t="inlineStr">
        <is>
          <t>Judgement, open item</t>
        </is>
      </c>
      <c r="F13" s="95" t="n"/>
      <c r="G13" s="95" t="n"/>
      <c r="H13" s="95" t="n"/>
      <c r="I13" s="95" t="n"/>
    </row>
    <row r="14">
      <c r="A14" s="102" t="inlineStr">
        <is>
          <t>yield_AC</t>
        </is>
      </c>
      <c r="B14" s="103" t="inlineStr">
        <is>
          <t>Yield factor tier A-CURVED / wide board</t>
        </is>
      </c>
      <c r="C14" s="107" t="n">
        <v>4.6</v>
      </c>
      <c r="D14" s="96" t="inlineStr">
        <is>
          <t>x</t>
        </is>
      </c>
      <c r="E14" s="96" t="inlineStr">
        <is>
          <t>STMV mindi</t>
        </is>
      </c>
      <c r="F14" s="95" t="n"/>
      <c r="G14" s="95" t="n"/>
      <c r="H14" s="95" t="n"/>
      <c r="I14" s="95" t="n"/>
    </row>
    <row r="15">
      <c r="A15" s="102" t="inlineStr">
        <is>
          <t>yield_B</t>
        </is>
      </c>
      <c r="B15" s="103" t="inlineStr">
        <is>
          <t>Yield factor tier B (exposed &lt; 1000 mm, or section ≤ 40 × 40 up to 1500 mm)</t>
        </is>
      </c>
      <c r="C15" s="107" t="n">
        <v>2.5</v>
      </c>
      <c r="D15" s="96" t="inlineStr">
        <is>
          <t>x</t>
        </is>
      </c>
      <c r="E15" s="96" t="inlineStr">
        <is>
          <t>Judgement, open item</t>
        </is>
      </c>
      <c r="F15" s="95" t="n"/>
      <c r="G15" s="95" t="n"/>
      <c r="H15" s="95" t="n"/>
      <c r="I15" s="95" t="n"/>
    </row>
    <row r="16">
      <c r="A16" s="102" t="inlineStr">
        <is>
          <t>yield_C</t>
        </is>
      </c>
      <c r="B16" s="103" t="inlineStr">
        <is>
          <t>Yield factor tier C (not exposed)</t>
        </is>
      </c>
      <c r="C16" s="107" t="n">
        <v>2</v>
      </c>
      <c r="D16" s="96" t="inlineStr">
        <is>
          <t>x</t>
        </is>
      </c>
      <c r="E16" s="96" t="inlineStr">
        <is>
          <t>STMV teak</t>
        </is>
      </c>
      <c r="F16" s="95" t="n"/>
      <c r="G16" s="95" t="n"/>
      <c r="H16" s="95" t="n"/>
      <c r="I16" s="95" t="n"/>
    </row>
    <row r="17">
      <c r="A17" s="102" t="inlineStr">
        <is>
          <t>yield_D</t>
        </is>
      </c>
      <c r="B17" s="103" t="inlineStr">
        <is>
          <t>Yield factor tier D (very small parts)</t>
        </is>
      </c>
      <c r="C17" s="107" t="n">
        <v>1.5</v>
      </c>
      <c r="D17" s="96" t="inlineStr">
        <is>
          <t>x</t>
        </is>
      </c>
      <c r="E17" s="96" t="inlineStr">
        <is>
          <t>Judgement, open item</t>
        </is>
      </c>
      <c r="F17" s="95" t="n"/>
      <c r="G17" s="95" t="n"/>
      <c r="H17" s="95" t="n"/>
      <c r="I17" s="95" t="n"/>
    </row>
    <row r="18">
      <c r="A18" s="102" t="inlineStr">
        <is>
          <t>yield_MER</t>
        </is>
      </c>
      <c r="B18" s="103" t="inlineStr">
        <is>
          <t>Meranti sawn-to-component yield</t>
        </is>
      </c>
      <c r="C18" s="107" t="n">
        <v>1.5</v>
      </c>
      <c r="D18" s="96" t="inlineStr">
        <is>
          <t>x</t>
        </is>
      </c>
      <c r="E18" s="96" t="inlineStr">
        <is>
          <t>Assumption</t>
        </is>
      </c>
      <c r="F18" s="95" t="n"/>
      <c r="G18" s="95" t="n"/>
      <c r="H18" s="95" t="n"/>
      <c r="I18" s="95" t="n"/>
    </row>
    <row r="19">
      <c r="A19" s="102" t="inlineStr">
        <is>
          <t>fast_total</t>
        </is>
      </c>
      <c r="B19" s="103" t="inlineStr">
        <is>
          <t>Screws, nails, dowels, wood glue: STMV ledger estimate</t>
        </is>
      </c>
      <c r="C19" s="105" t="n">
        <v>57000000</v>
      </c>
      <c r="D19" s="96" t="inlineStr">
        <is>
          <t>IDR</t>
        </is>
      </c>
      <c r="E19" s="96" t="inlineStr">
        <is>
          <t>Status CONFIRM</t>
        </is>
      </c>
      <c r="F19" s="95" t="n"/>
      <c r="G19" s="95" t="n"/>
      <c r="H19" s="95" t="n"/>
      <c r="I19" s="95" t="n"/>
    </row>
    <row r="20">
      <c r="A20" s="102" t="inlineStr">
        <is>
          <t>paint_total</t>
        </is>
      </c>
      <c r="B20" s="103" t="inlineStr">
        <is>
          <t>Finishing materials: Zhanchen all-in 52,888,326 + thinner 31,249,000</t>
        </is>
      </c>
      <c r="C20" s="105" t="n">
        <v>84137326</v>
      </c>
      <c r="D20" s="96" t="inlineStr">
        <is>
          <t>IDR</t>
        </is>
      </c>
      <c r="E20" s="96" t="inlineStr">
        <is>
          <t>Ledger, agreed 28 Sep</t>
        </is>
      </c>
      <c r="F20" s="95" t="n"/>
      <c r="G20" s="95" t="n"/>
      <c r="H20" s="95" t="n"/>
      <c r="I20" s="95" t="n"/>
    </row>
    <row r="21">
      <c r="A21" s="102" t="inlineStr">
        <is>
          <t>abrasive_total</t>
        </is>
      </c>
      <c r="B21" s="103" t="inlineStr">
        <is>
          <t>Sanding materials: abrasives / sandpaper</t>
        </is>
      </c>
      <c r="C21" s="105" t="n">
        <v>27713000</v>
      </c>
      <c r="D21" s="96" t="inlineStr">
        <is>
          <t>IDR</t>
        </is>
      </c>
      <c r="E21" s="96" t="inlineStr">
        <is>
          <t>Ledger, agreed 28 Sep</t>
        </is>
      </c>
      <c r="F21" s="95" t="n"/>
      <c r="G21" s="95" t="n"/>
      <c r="H21" s="95" t="n"/>
      <c r="I21" s="95" t="n"/>
    </row>
    <row r="22">
      <c r="A22" s="102" t="inlineStr">
        <is>
          <t>fin_pool</t>
        </is>
      </c>
      <c r="B22" s="103" t="inlineStr">
        <is>
          <t>Finishing payroll pool excl. sanding (finishing, PU, gerinda, helper)</t>
        </is>
      </c>
      <c r="C22" s="105" t="n">
        <v>192243271</v>
      </c>
      <c r="D22" s="96" t="inlineStr">
        <is>
          <t>IDR</t>
        </is>
      </c>
      <c r="E22" s="96" t="inlineStr">
        <is>
          <t>Payroll, 29 Sep</t>
        </is>
      </c>
      <c r="F22" s="95" t="n"/>
      <c r="G22" s="95" t="n"/>
      <c r="H22" s="95" t="n"/>
      <c r="I22" s="95" t="n"/>
    </row>
    <row r="23">
      <c r="A23" s="102" t="inlineStr">
        <is>
          <t>sand_pool</t>
        </is>
      </c>
      <c r="B23" s="103" t="inlineStr">
        <is>
          <t>Sanding payroll pool, as paid</t>
        </is>
      </c>
      <c r="C23" s="105" t="n">
        <v>131550191</v>
      </c>
      <c r="D23" s="96" t="inlineStr">
        <is>
          <t>IDR</t>
        </is>
      </c>
      <c r="E23" s="96" t="inlineStr">
        <is>
          <t>Payroll, 29 Sep</t>
        </is>
      </c>
      <c r="F23" s="95" t="n"/>
      <c r="G23" s="95" t="n"/>
      <c r="H23" s="95" t="n"/>
      <c r="I23" s="95" t="n"/>
    </row>
    <row r="24">
      <c r="A24" s="102" t="inlineStr">
        <is>
          <t>sand_keep</t>
        </is>
      </c>
      <c r="B24" s="103" t="inlineStr">
        <is>
          <t>Sanding share kept (35% removed: bleach re-sanding, packing work)</t>
        </is>
      </c>
      <c r="C24" s="106" t="n">
        <v>0.65</v>
      </c>
      <c r="D24" s="96" t="inlineStr">
        <is>
          <t>%</t>
        </is>
      </c>
      <c r="E24" s="96" t="inlineStr">
        <is>
          <t>Decision 29 Sep</t>
        </is>
      </c>
      <c r="F24" s="95" t="n"/>
      <c r="G24" s="95" t="n"/>
      <c r="H24" s="95" t="n"/>
      <c r="I24" s="95" t="n"/>
    </row>
    <row r="25">
      <c r="A25" s="102" t="inlineStr">
        <is>
          <t>fin_m2</t>
        </is>
      </c>
      <c r="B25" s="103" t="inlineStr">
        <is>
          <t>STMV finishing surface</t>
        </is>
      </c>
      <c r="C25" s="107" t="n">
        <v>2166</v>
      </c>
      <c r="D25" s="96" t="inlineStr">
        <is>
          <t>m²</t>
        </is>
      </c>
      <c r="E25" s="96" t="inlineStr">
        <is>
          <t>Items tab estimate</t>
        </is>
      </c>
      <c r="F25" s="95" t="n"/>
      <c r="G25" s="95" t="n"/>
      <c r="H25" s="95" t="n"/>
      <c r="I25" s="95" t="n"/>
    </row>
    <row r="26">
      <c r="A26" s="102" t="inlineStr">
        <is>
          <t>oh_pool</t>
        </is>
      </c>
      <c r="B26" s="103" t="inlineStr">
        <is>
          <t>Overhead payroll 213,627,079 + utilities 144,633,030 − PLN upgrade 49,700,000</t>
        </is>
      </c>
      <c r="C26" s="105" t="n">
        <v>308560109</v>
      </c>
      <c r="D26" s="96" t="inlineStr">
        <is>
          <t>IDR</t>
        </is>
      </c>
      <c r="E26" s="96" t="inlineStr">
        <is>
          <t>Payroll + reconciliation 23 Sep</t>
        </is>
      </c>
      <c r="F26" s="95" t="n"/>
      <c r="G26" s="95" t="n"/>
      <c r="H26" s="95" t="n"/>
      <c r="I26" s="95" t="n"/>
    </row>
    <row r="27">
      <c r="A27" s="102" t="inlineStr">
        <is>
          <t>stmv_direct</t>
        </is>
      </c>
      <c r="B27" s="103" t="inlineStr">
        <is>
          <t>STMV direct cost</t>
        </is>
      </c>
      <c r="C27" s="105" t="n">
        <v>2374841837</v>
      </c>
      <c r="D27" s="96" t="inlineStr">
        <is>
          <t>IDR</t>
        </is>
      </c>
      <c r="E27" s="96" t="inlineStr">
        <is>
          <t>Reconciliation 23 Sep, section A</t>
        </is>
      </c>
      <c r="F27" s="95" t="n"/>
      <c r="G27" s="95" t="n"/>
      <c r="H27" s="95" t="n"/>
      <c r="I27" s="95" t="n"/>
    </row>
    <row r="28">
      <c r="A28" s="102" t="inlineStr">
        <is>
          <t>glue_tape</t>
        </is>
      </c>
      <c r="B28" s="103" t="inlineStr">
        <is>
          <t>Adino glue + gum tape per m² veneered</t>
        </is>
      </c>
      <c r="C28" s="105" t="n">
        <v>10424</v>
      </c>
      <c r="D28" s="96" t="inlineStr">
        <is>
          <t>IDR/m²</t>
        </is>
      </c>
      <c r="E28" s="96" t="inlineStr">
        <is>
          <t>3,912,750 + 600,000 ÷ 432.9 m² (122 doors × 2 faces)</t>
        </is>
      </c>
      <c r="F28" s="95" t="n"/>
      <c r="G28" s="95" t="n"/>
      <c r="H28" s="95" t="n"/>
      <c r="I28" s="95" t="n"/>
    </row>
    <row r="29">
      <c r="A29" s="102" t="inlineStr">
        <is>
          <t>ven_teak</t>
        </is>
      </c>
      <c r="B29" s="103" t="inlineStr">
        <is>
          <t>Teak veneer per running metre (1.35 m wide)</t>
        </is>
      </c>
      <c r="C29" s="105" t="n">
        <v>110000</v>
      </c>
      <c r="D29" s="96" t="inlineStr">
        <is>
          <t>IDR/m</t>
        </is>
      </c>
      <c r="E29" s="96" t="inlineStr">
        <is>
          <t>User figure 28 Sep. Status CONFIRM</t>
        </is>
      </c>
      <c r="F29" s="95" t="n"/>
      <c r="G29" s="95" t="n"/>
      <c r="H29" s="95" t="n"/>
      <c r="I29" s="95" t="n"/>
    </row>
    <row r="30">
      <c r="A30" s="102" t="inlineStr">
        <is>
          <t>ven_mindi</t>
        </is>
      </c>
      <c r="B30" s="103" t="inlineStr">
        <is>
          <t>Mindi veneer per running metre</t>
        </is>
      </c>
      <c r="C30" s="105" t="n">
        <v>20000</v>
      </c>
      <c r="D30" s="96" t="inlineStr">
        <is>
          <t>IDR/m</t>
        </is>
      </c>
      <c r="E30" s="96" t="inlineStr">
        <is>
          <t>User figure 28 Sep. Status CONFIRM (width ≥ 1.22 m)</t>
        </is>
      </c>
      <c r="F30" s="95" t="n"/>
      <c r="G30" s="95" t="n"/>
      <c r="H30" s="95" t="n"/>
      <c r="I30" s="95" t="n"/>
    </row>
    <row r="31">
      <c r="A31" s="102" t="inlineStr">
        <is>
          <t>ven_len</t>
        </is>
      </c>
      <c r="B31" s="103" t="inlineStr">
        <is>
          <t>Veneer length used per face</t>
        </is>
      </c>
      <c r="C31" s="107" t="n">
        <v>2.5</v>
      </c>
      <c r="D31" s="96" t="inlineStr">
        <is>
          <t>m</t>
        </is>
      </c>
      <c r="E31" s="96" t="inlineStr">
        <is>
          <t>One 2.5 m length per face, offcuts not reused</t>
        </is>
      </c>
      <c r="F31" s="95" t="n"/>
      <c r="G31" s="95" t="n"/>
      <c r="H31" s="95" t="n"/>
      <c r="I31" s="95" t="n"/>
    </row>
    <row r="32">
      <c r="A32" s="102" t="inlineStr">
        <is>
          <t>ven_labour</t>
        </is>
      </c>
      <c r="B32" s="103" t="inlineStr">
        <is>
          <t>Pressing labour per face (tape, press, sand, cut)</t>
        </is>
      </c>
      <c r="C32" s="105" t="n">
        <v>57142.86</v>
      </c>
      <c r="D32" s="96" t="inlineStr">
        <is>
          <t>IDR/face</t>
        </is>
      </c>
      <c r="E32" s="96" t="inlineStr">
        <is>
          <t>800,000 ÷ 14 sheets. Status CONFIRM</t>
        </is>
      </c>
      <c r="F32" s="95" t="n"/>
      <c r="G32" s="95" t="n"/>
      <c r="H32" s="95" t="n"/>
      <c r="I32" s="95" t="n"/>
    </row>
    <row r="33">
      <c r="A33" s="97" t="inlineStr">
        <is>
          <t>RATE CARD: applied by the item tabs</t>
        </is>
      </c>
      <c r="B33" s="98" t="n"/>
      <c r="C33" s="98" t="n"/>
      <c r="D33" s="98" t="n"/>
      <c r="E33" s="98" t="n"/>
      <c r="F33" s="98" t="n"/>
      <c r="G33" s="98" t="n"/>
      <c r="H33" s="98" t="n"/>
      <c r="I33" s="98" t="n"/>
    </row>
    <row r="34">
      <c r="A34" s="102" t="inlineStr">
        <is>
          <t>LAB_CARP</t>
        </is>
      </c>
      <c r="B34" s="103" t="inlineStr">
        <is>
          <t>Carpentry labour per m³ of component (inside every tier rate)</t>
        </is>
      </c>
      <c r="C34" s="108" t="n">
        <v>4000000</v>
      </c>
      <c r="D34" s="96" t="inlineStr">
        <is>
          <t>IDR/m³</t>
        </is>
      </c>
      <c r="E34" s="96" t="inlineStr">
        <is>
          <t>Pool less 10% ÷ component m³</t>
        </is>
      </c>
      <c r="F34" s="95" t="n"/>
      <c r="G34" s="95" t="n"/>
      <c r="H34" s="95" t="n"/>
      <c r="I34" s="95" t="n"/>
    </row>
    <row r="35">
      <c r="A35" s="102" t="inlineStr">
        <is>
          <t>TEAK_A</t>
        </is>
      </c>
      <c r="B35" s="103" t="inlineStr">
        <is>
          <t>Teak tier A</t>
        </is>
      </c>
      <c r="C35" s="108" t="n">
        <v>27507965.09</v>
      </c>
      <c r="D35" s="96" t="inlineStr">
        <is>
          <t>IDR/m³</t>
        </is>
      </c>
      <c r="E35" s="96" t="inlineStr">
        <is>
          <t>(log + processing) × yield + labour</t>
        </is>
      </c>
      <c r="F35" s="95" t="n"/>
      <c r="G35" s="95" t="n"/>
      <c r="H35" s="95" t="n"/>
      <c r="I35" s="95" t="n"/>
    </row>
    <row r="36">
      <c r="A36" s="102" t="inlineStr">
        <is>
          <t>TEAK_AC</t>
        </is>
      </c>
      <c r="B36" s="103" t="inlineStr">
        <is>
          <t>Teak tier A-CURVED</t>
        </is>
      </c>
      <c r="C36" s="108" t="n">
        <v>34040953.31</v>
      </c>
      <c r="D36" s="96" t="inlineStr">
        <is>
          <t>IDR/m³</t>
        </is>
      </c>
      <c r="E36" s="95" t="n"/>
      <c r="F36" s="95" t="n"/>
      <c r="G36" s="95" t="n"/>
      <c r="H36" s="95" t="n"/>
      <c r="I36" s="95" t="n"/>
    </row>
    <row r="37">
      <c r="A37" s="102" t="inlineStr">
        <is>
          <t>TEAK_B</t>
        </is>
      </c>
      <c r="B37" s="103" t="inlineStr">
        <is>
          <t>Teak tier B</t>
        </is>
      </c>
      <c r="C37" s="108" t="n">
        <v>21568884.89</v>
      </c>
      <c r="D37" s="96" t="inlineStr">
        <is>
          <t>IDR/m³</t>
        </is>
      </c>
      <c r="E37" s="95" t="n"/>
      <c r="F37" s="95" t="n"/>
      <c r="G37" s="95" t="n"/>
      <c r="H37" s="95" t="n"/>
      <c r="I37" s="95" t="n"/>
    </row>
    <row r="38">
      <c r="A38" s="102" t="inlineStr">
        <is>
          <t>TEAK_C</t>
        </is>
      </c>
      <c r="B38" s="103" t="inlineStr">
        <is>
          <t>Teak tier C</t>
        </is>
      </c>
      <c r="C38" s="108" t="n">
        <v>18599344.79</v>
      </c>
      <c r="D38" s="96" t="inlineStr">
        <is>
          <t>IDR/m³</t>
        </is>
      </c>
      <c r="E38" s="95" t="n"/>
      <c r="F38" s="95" t="n"/>
      <c r="G38" s="95" t="n"/>
      <c r="H38" s="95" t="n"/>
      <c r="I38" s="95" t="n"/>
    </row>
    <row r="39">
      <c r="A39" s="102" t="inlineStr">
        <is>
          <t>TEAK_D</t>
        </is>
      </c>
      <c r="B39" s="103" t="inlineStr">
        <is>
          <t>Teak tier D</t>
        </is>
      </c>
      <c r="C39" s="108" t="n">
        <v>15629804.69</v>
      </c>
      <c r="D39" s="96" t="inlineStr">
        <is>
          <t>IDR/m³</t>
        </is>
      </c>
      <c r="E39" s="95" t="n"/>
      <c r="F39" s="95" t="n"/>
      <c r="G39" s="95" t="n"/>
      <c r="H39" s="95" t="n"/>
      <c r="I39" s="95" t="n"/>
    </row>
    <row r="40">
      <c r="A40" s="102" t="inlineStr">
        <is>
          <t>MINDI_A</t>
        </is>
      </c>
      <c r="B40" s="103" t="inlineStr">
        <is>
          <t>Mindi tier A</t>
        </is>
      </c>
      <c r="C40" s="108" t="n">
        <v>11918256.96</v>
      </c>
      <c r="D40" s="96" t="inlineStr">
        <is>
          <t>IDR/m³</t>
        </is>
      </c>
      <c r="E40" s="95" t="n"/>
      <c r="F40" s="95" t="n"/>
      <c r="G40" s="95" t="n"/>
      <c r="H40" s="95" t="n"/>
      <c r="I40" s="95" t="n"/>
    </row>
    <row r="41">
      <c r="A41" s="102" t="inlineStr">
        <is>
          <t>MINDI_AC</t>
        </is>
      </c>
      <c r="B41" s="103" t="inlineStr">
        <is>
          <t>Mindi tier A-CURVED</t>
        </is>
      </c>
      <c r="C41" s="108" t="n">
        <v>14269829.18</v>
      </c>
      <c r="D41" s="96" t="inlineStr">
        <is>
          <t>IDR/m³</t>
        </is>
      </c>
      <c r="E41" s="95" t="n"/>
      <c r="F41" s="95" t="n"/>
      <c r="G41" s="95" t="n"/>
      <c r="H41" s="95" t="n"/>
      <c r="I41" s="95" t="n"/>
    </row>
    <row r="42">
      <c r="A42" s="102" t="inlineStr">
        <is>
          <t>MINDI_B</t>
        </is>
      </c>
      <c r="B42" s="103" t="inlineStr">
        <is>
          <t>Mindi tier B</t>
        </is>
      </c>
      <c r="C42" s="108" t="n">
        <v>9780464.027000001</v>
      </c>
      <c r="D42" s="96" t="inlineStr">
        <is>
          <t>IDR/m³</t>
        </is>
      </c>
      <c r="E42" s="95" t="n"/>
      <c r="F42" s="95" t="n"/>
      <c r="G42" s="95" t="n"/>
      <c r="H42" s="95" t="n"/>
      <c r="I42" s="95" t="n"/>
    </row>
    <row r="43">
      <c r="A43" s="102" t="inlineStr">
        <is>
          <t>MINDI_C</t>
        </is>
      </c>
      <c r="B43" s="103" t="inlineStr">
        <is>
          <t>Mindi tier C</t>
        </is>
      </c>
      <c r="C43" s="108" t="n">
        <v>8711567.561000001</v>
      </c>
      <c r="D43" s="96" t="inlineStr">
        <is>
          <t>IDR/m³</t>
        </is>
      </c>
      <c r="E43" s="95" t="n"/>
      <c r="F43" s="95" t="n"/>
      <c r="G43" s="95" t="n"/>
      <c r="H43" s="95" t="n"/>
      <c r="I43" s="95" t="n"/>
    </row>
    <row r="44">
      <c r="A44" s="102" t="inlineStr">
        <is>
          <t>MINDI_D</t>
        </is>
      </c>
      <c r="B44" s="103" t="inlineStr">
        <is>
          <t>Mindi tier D</t>
        </is>
      </c>
      <c r="C44" s="108" t="n">
        <v>7642671.095</v>
      </c>
      <c r="D44" s="96" t="inlineStr">
        <is>
          <t>IDR/m³</t>
        </is>
      </c>
      <c r="E44" s="95" t="n"/>
      <c r="F44" s="95" t="n"/>
      <c r="G44" s="95" t="n"/>
      <c r="H44" s="95" t="n"/>
      <c r="I44" s="95" t="n"/>
    </row>
    <row r="45">
      <c r="A45" s="102" t="inlineStr">
        <is>
          <t>MERANTI</t>
        </is>
      </c>
      <c r="B45" s="103" t="inlineStr">
        <is>
          <t>Meranti, any tier</t>
        </is>
      </c>
      <c r="C45" s="108" t="n">
        <v>18196184.39</v>
      </c>
      <c r="D45" s="96" t="inlineStr">
        <is>
          <t>IDR/m³</t>
        </is>
      </c>
      <c r="E45" s="96" t="inlineStr">
        <is>
          <t>Sawn price × yield + labour, no processing</t>
        </is>
      </c>
      <c r="F45" s="95" t="n"/>
      <c r="G45" s="95" t="n"/>
      <c r="H45" s="95" t="n"/>
      <c r="I45" s="95" t="n"/>
    </row>
    <row r="46">
      <c r="A46" s="102" t="inlineStr">
        <is>
          <t>FASTENERS</t>
        </is>
      </c>
      <c r="B46" s="103" t="inlineStr">
        <is>
          <t>Screws, nails, dowels, glue per m³ of component</t>
        </is>
      </c>
      <c r="C46" s="108" t="n">
        <v>1000000</v>
      </c>
      <c r="D46" s="96" t="inlineStr">
        <is>
          <t>IDR/m³</t>
        </is>
      </c>
      <c r="E46" s="95" t="n"/>
      <c r="F46" s="95" t="n"/>
      <c r="G46" s="95" t="n"/>
      <c r="H46" s="95" t="n"/>
      <c r="I46" s="95" t="n"/>
    </row>
    <row r="47">
      <c r="A47" s="102" t="inlineStr">
        <is>
          <t>FIN_MAT</t>
        </is>
      </c>
      <c r="B47" s="103" t="inlineStr">
        <is>
          <t>Finishing materials (Zhanchen + thinner) per m² exposed</t>
        </is>
      </c>
      <c r="C47" s="109" t="n">
        <v>37000</v>
      </c>
      <c r="D47" s="96" t="inlineStr">
        <is>
          <t>IDR/m²</t>
        </is>
      </c>
      <c r="E47" s="95" t="n"/>
      <c r="F47" s="95" t="n"/>
      <c r="G47" s="95" t="n"/>
      <c r="H47" s="95" t="n"/>
      <c r="I47" s="95" t="n"/>
    </row>
    <row r="48">
      <c r="A48" s="102" t="inlineStr">
        <is>
          <t>SAND_MAT</t>
        </is>
      </c>
      <c r="B48" s="103" t="inlineStr">
        <is>
          <t>Sanding materials (abrasives) per m² exposed</t>
        </is>
      </c>
      <c r="C48" s="109" t="n">
        <v>10235.64174</v>
      </c>
      <c r="D48" s="96" t="inlineStr">
        <is>
          <t>IDR/m²</t>
        </is>
      </c>
      <c r="E48" s="95" t="n"/>
      <c r="F48" s="95" t="n"/>
      <c r="G48" s="95" t="n"/>
      <c r="H48" s="95" t="n"/>
      <c r="I48" s="95" t="n"/>
    </row>
    <row r="49">
      <c r="A49" s="102" t="inlineStr">
        <is>
          <t>SAND_LAB</t>
        </is>
      </c>
      <c r="B49" s="103" t="inlineStr">
        <is>
          <t>Sanding labour (65% of sanding pool) per m² exposed</t>
        </is>
      </c>
      <c r="C49" s="109" t="n">
        <v>20000</v>
      </c>
      <c r="D49" s="96" t="inlineStr">
        <is>
          <t>IDR/m²</t>
        </is>
      </c>
      <c r="E49" s="95" t="n"/>
      <c r="F49" s="95" t="n"/>
      <c r="G49" s="95" t="n"/>
      <c r="H49" s="95" t="n"/>
      <c r="I49" s="95" t="n"/>
    </row>
    <row r="50">
      <c r="A50" s="102" t="inlineStr">
        <is>
          <t>FIN_LAB</t>
        </is>
      </c>
      <c r="B50" s="103" t="inlineStr">
        <is>
          <t>Finishing labour (finishing pool) per m² exposed</t>
        </is>
      </c>
      <c r="C50" s="109" t="n">
        <v>45000</v>
      </c>
      <c r="D50" s="96" t="inlineStr">
        <is>
          <t>IDR/m²</t>
        </is>
      </c>
      <c r="E50" s="95" t="n"/>
      <c r="F50" s="95" t="n"/>
      <c r="G50" s="95" t="n"/>
      <c r="H50" s="95" t="n"/>
      <c r="I50" s="95" t="n"/>
    </row>
    <row r="51">
      <c r="A51" s="102" t="inlineStr">
        <is>
          <t>CARTON_M2</t>
        </is>
      </c>
      <c r="B51" s="103" t="inlineStr">
        <is>
          <t>Carton + consumables per m² of carton board (6 sides)</t>
        </is>
      </c>
      <c r="C51" s="105" t="n">
        <v>40000</v>
      </c>
      <c r="D51" s="96" t="inlineStr">
        <is>
          <t>IDR/m²</t>
        </is>
      </c>
      <c r="E51" s="96" t="inlineStr">
        <is>
          <t>Cartons 59.4m + 40% of other packing materials</t>
        </is>
      </c>
      <c r="F51" s="95" t="n"/>
      <c r="G51" s="95" t="n"/>
      <c r="H51" s="95" t="n"/>
      <c r="I51" s="95" t="n"/>
    </row>
    <row r="52">
      <c r="A52" s="102" t="inlineStr">
        <is>
          <t>PACK_LAB</t>
        </is>
      </c>
      <c r="B52" s="103" t="inlineStr">
        <is>
          <t>Packing labour per m³ of carton</t>
        </is>
      </c>
      <c r="C52" s="104" t="n">
        <v>50000</v>
      </c>
      <c r="D52" s="96" t="inlineStr">
        <is>
          <t>IDR/m³</t>
        </is>
      </c>
      <c r="E52" s="96" t="inlineStr">
        <is>
          <t>6 people × 8 days per container. Status CONFIRM</t>
        </is>
      </c>
      <c r="F52" s="95" t="n"/>
      <c r="G52" s="95" t="n"/>
      <c r="H52" s="95" t="n"/>
      <c r="I52" s="95" t="n"/>
    </row>
    <row r="53">
      <c r="A53" s="102" t="inlineStr">
        <is>
          <t>GRP_A</t>
        </is>
      </c>
      <c r="B53" s="103" t="inlineStr">
        <is>
          <t>Carton group A price (boxes under CARTON_MIN_M2)</t>
        </is>
      </c>
      <c r="C53" s="105" t="n">
        <v>24000</v>
      </c>
      <c r="D53" s="96" t="inlineStr">
        <is>
          <t>IDR</t>
        </is>
      </c>
      <c r="E53" s="96" t="inlineStr">
        <is>
          <t>STMV carton groups, 28 Sep</t>
        </is>
      </c>
      <c r="F53" s="95" t="n"/>
      <c r="G53" s="95" t="n"/>
      <c r="H53" s="95" t="n"/>
      <c r="I53" s="95" t="n"/>
    </row>
    <row r="54">
      <c r="A54" s="102" t="inlineStr">
        <is>
          <t>MISC_PCT</t>
        </is>
      </c>
      <c r="B54" s="103" t="inlineStr">
        <is>
          <t>Miscellaneous, × direct cost</t>
        </is>
      </c>
      <c r="C54" s="106" t="n">
        <v>0.04</v>
      </c>
      <c r="D54" s="96" t="inlineStr">
        <is>
          <t>%</t>
        </is>
      </c>
      <c r="E54" s="96" t="inlineStr">
        <is>
          <t>Rizky 23 Okt 2026: 4% of TOTAL COST (was 5%)</t>
        </is>
      </c>
      <c r="F54" s="95" t="n"/>
      <c r="G54" s="95" t="n"/>
      <c r="H54" s="95" t="n"/>
      <c r="I54" s="95" t="n"/>
    </row>
    <row r="55">
      <c r="A55" s="102" t="inlineStr">
        <is>
          <t>TARGET_X</t>
        </is>
      </c>
      <c r="B55" s="103" t="inlineStr">
        <is>
          <t>Target price = DIRECT COST in USD x this factor</t>
        </is>
      </c>
      <c r="C55" s="139" t="n">
        <v>1.5</v>
      </c>
      <c r="D55" s="96" t="inlineStr">
        <is>
          <t>x</t>
        </is>
      </c>
      <c r="E55" s="96" t="inlineStr">
        <is>
          <t>Rizky 23 Okt 2026 (replaces OH_PCT, deleted). Blue = input</t>
        </is>
      </c>
      <c r="F55" s="95" t="n"/>
      <c r="G55" s="95" t="n"/>
      <c r="H55" s="95" t="n"/>
      <c r="I55" s="95" t="n"/>
    </row>
    <row r="56">
      <c r="A56" s="97" t="inlineStr">
        <is>
          <t>PLYWOOD per 2440 × 1220 sheet. RAW = board only; MSF / MDF = mindi veneer 1 / 2 faces; TSF / TDF = teak veneer 1 / 2 faces</t>
        </is>
      </c>
      <c r="B56" s="98" t="n"/>
      <c r="C56" s="98" t="n"/>
      <c r="D56" s="98" t="n"/>
      <c r="E56" s="98" t="n"/>
      <c r="F56" s="98" t="n"/>
      <c r="G56" s="98" t="n"/>
      <c r="H56" s="98" t="n"/>
      <c r="I56" s="98" t="n"/>
    </row>
    <row r="57">
      <c r="A57" s="102" t="inlineStr">
        <is>
          <t>VEN_TEAK_FACE</t>
        </is>
      </c>
      <c r="B57" s="103" t="inlineStr">
        <is>
          <t>Teak veneer added cost per face (veneer + glue/tape + pressing labour)</t>
        </is>
      </c>
      <c r="C57" s="109">
        <f>$C$29*$C$31+$C$28*(LISTS!$F$6*LISTS!$F$7/1000000)+$C$32</f>
        <v/>
      </c>
      <c r="D57" s="96" t="inlineStr">
        <is>
          <t>IDR/face</t>
        </is>
      </c>
      <c r="E57" s="95" t="n"/>
      <c r="F57" s="95" t="n"/>
      <c r="G57" s="95" t="n"/>
      <c r="H57" s="95" t="n"/>
      <c r="I57" s="95" t="n"/>
    </row>
    <row r="58">
      <c r="A58" s="102" t="inlineStr">
        <is>
          <t>VEN_MINDI_FACE</t>
        </is>
      </c>
      <c r="B58" s="103" t="inlineStr">
        <is>
          <t>Mindi veneer added cost per face</t>
        </is>
      </c>
      <c r="C58" s="111" t="n">
        <v>18000</v>
      </c>
      <c r="D58" s="96" t="inlineStr">
        <is>
          <t>m2</t>
        </is>
      </c>
      <c r="E58" s="95" t="n"/>
      <c r="F58" s="95" t="n"/>
      <c r="G58" s="95" t="n"/>
      <c r="H58" s="95" t="n"/>
      <c r="I58" s="95" t="n"/>
    </row>
    <row r="59">
      <c r="A59" s="102" t="inlineStr">
        <is>
          <t>PLY-3-RAW</t>
        </is>
      </c>
      <c r="B59" s="103" t="inlineStr">
        <is>
          <t>Plywood 3 mm, raw</t>
        </is>
      </c>
      <c r="C59" s="105">
        <f>G59</f>
        <v/>
      </c>
      <c r="D59" s="96" t="inlineStr">
        <is>
          <t>IDR/sheet</t>
        </is>
      </c>
      <c r="E59" s="96" t="inlineStr">
        <is>
          <t>E2 landed Kudus (Linyi quote 16 Oct 2026). Grade LOCKED E2</t>
        </is>
      </c>
      <c r="F59" s="112">
        <f t="array" ref="F59">INDEX($F$178:$F$215,MATCH("LND-PLY-"&amp;$C$174&amp;"-3",$A$178:$A$215,0))</f>
        <v/>
      </c>
      <c r="G59" s="112">
        <f>F59*$C$172</f>
        <v/>
      </c>
      <c r="H59" s="95" t="n"/>
      <c r="I59" s="95" t="n"/>
    </row>
    <row r="60">
      <c r="A60" s="102" t="inlineStr">
        <is>
          <t>PLY-3-MSF</t>
        </is>
      </c>
      <c r="B60" s="103" t="inlineStr">
        <is>
          <t>Plywood 3 mm, mindi single face</t>
        </is>
      </c>
      <c r="C60" s="109">
        <f>C59+$C$175</f>
        <v/>
      </c>
      <c r="D60" s="96" t="inlineStr">
        <is>
          <t>IDR/sheet</t>
        </is>
      </c>
      <c r="E60" s="95" t="n"/>
      <c r="F60" s="95" t="n"/>
      <c r="G60" s="95" t="n"/>
      <c r="H60" s="95" t="n"/>
      <c r="I60" s="95" t="n"/>
    </row>
    <row r="61">
      <c r="A61" s="102" t="inlineStr">
        <is>
          <t>PLY-3-MDF</t>
        </is>
      </c>
      <c r="B61" s="103" t="inlineStr">
        <is>
          <t>Plywood 3 mm, mindi double face</t>
        </is>
      </c>
      <c r="C61" s="109">
        <f>C59+2*$C$175</f>
        <v/>
      </c>
      <c r="D61" s="96" t="inlineStr">
        <is>
          <t>IDR/sheet</t>
        </is>
      </c>
      <c r="E61" s="95" t="n"/>
      <c r="F61" s="95" t="n"/>
      <c r="G61" s="95" t="n"/>
      <c r="H61" s="95" t="n"/>
      <c r="I61" s="95" t="n"/>
    </row>
    <row r="62">
      <c r="A62" s="102" t="inlineStr">
        <is>
          <t>PLY-3-TSF</t>
        </is>
      </c>
      <c r="B62" s="103" t="inlineStr">
        <is>
          <t>Plywood 3 mm, teak single face</t>
        </is>
      </c>
      <c r="C62" s="109">
        <f>C59+$C$176</f>
        <v/>
      </c>
      <c r="D62" s="96" t="inlineStr">
        <is>
          <t>IDR/sheet</t>
        </is>
      </c>
      <c r="E62" s="95" t="n"/>
      <c r="F62" s="95" t="n"/>
      <c r="G62" s="95" t="n"/>
      <c r="H62" s="95" t="n"/>
      <c r="I62" s="95" t="n"/>
    </row>
    <row r="63">
      <c r="A63" s="102" t="inlineStr">
        <is>
          <t>PLY-3-TDF</t>
        </is>
      </c>
      <c r="B63" s="103" t="inlineStr">
        <is>
          <t>Plywood 3 mm, teak double face</t>
        </is>
      </c>
      <c r="C63" s="109">
        <f>C59+2*$C$176</f>
        <v/>
      </c>
      <c r="D63" s="96" t="inlineStr">
        <is>
          <t>IDR/sheet</t>
        </is>
      </c>
      <c r="E63" s="95" t="n"/>
      <c r="F63" s="95" t="n"/>
      <c r="G63" s="95" t="n"/>
      <c r="H63" s="95" t="n"/>
      <c r="I63" s="95" t="n"/>
    </row>
    <row r="64">
      <c r="A64" s="102" t="inlineStr">
        <is>
          <t>PLY-6-RAW</t>
        </is>
      </c>
      <c r="B64" s="103" t="inlineStr">
        <is>
          <t>Plywood 6 mm, raw</t>
        </is>
      </c>
      <c r="C64" s="105">
        <f>G64</f>
        <v/>
      </c>
      <c r="D64" s="96" t="inlineStr">
        <is>
          <t>IDR/sheet</t>
        </is>
      </c>
      <c r="E64" s="96" t="inlineStr">
        <is>
          <t>E2 landed Kudus (Linyi quote 16 Oct 2026). Grade LOCKED E2</t>
        </is>
      </c>
      <c r="F64" s="112">
        <f t="array" ref="F64">INDEX($F$178:$F$215,MATCH("LND-PLY-"&amp;$C$174&amp;"-6",$A$178:$A$215,0))</f>
        <v/>
      </c>
      <c r="G64" s="112">
        <f>F64*$C$172</f>
        <v/>
      </c>
      <c r="H64" s="95" t="n"/>
      <c r="I64" s="95" t="n"/>
    </row>
    <row r="65">
      <c r="A65" s="102" t="inlineStr">
        <is>
          <t>PLY-6-MSF</t>
        </is>
      </c>
      <c r="B65" s="103" t="inlineStr">
        <is>
          <t>Plywood 6 mm, mindi single face</t>
        </is>
      </c>
      <c r="C65" s="109">
        <f>C64+$C$175</f>
        <v/>
      </c>
      <c r="D65" s="96" t="inlineStr">
        <is>
          <t>IDR/sheet</t>
        </is>
      </c>
      <c r="E65" s="95" t="n"/>
      <c r="F65" s="95" t="n"/>
      <c r="G65" s="95" t="n"/>
      <c r="H65" s="95" t="n"/>
      <c r="I65" s="95" t="n"/>
    </row>
    <row r="66">
      <c r="A66" s="102" t="inlineStr">
        <is>
          <t>PLY-6-MDF</t>
        </is>
      </c>
      <c r="B66" s="103" t="inlineStr">
        <is>
          <t>Plywood 6 mm, mindi double face</t>
        </is>
      </c>
      <c r="C66" s="109">
        <f>C64+2*$C$175</f>
        <v/>
      </c>
      <c r="D66" s="96" t="inlineStr">
        <is>
          <t>IDR/sheet</t>
        </is>
      </c>
      <c r="E66" s="95" t="n"/>
      <c r="F66" s="95" t="n"/>
      <c r="G66" s="95" t="n"/>
      <c r="H66" s="95" t="n"/>
      <c r="I66" s="95" t="n"/>
    </row>
    <row r="67">
      <c r="A67" s="102" t="inlineStr">
        <is>
          <t>PLY-6-TSF</t>
        </is>
      </c>
      <c r="B67" s="103" t="inlineStr">
        <is>
          <t>Plywood 6 mm, teak single face</t>
        </is>
      </c>
      <c r="C67" s="109">
        <f>C64+$C$176</f>
        <v/>
      </c>
      <c r="D67" s="96" t="inlineStr">
        <is>
          <t>IDR/sheet</t>
        </is>
      </c>
      <c r="E67" s="95" t="n"/>
      <c r="F67" s="95" t="n"/>
      <c r="G67" s="95" t="n"/>
      <c r="H67" s="95" t="n"/>
      <c r="I67" s="95" t="n"/>
    </row>
    <row r="68">
      <c r="A68" s="102" t="inlineStr">
        <is>
          <t>PLY-6-TDF</t>
        </is>
      </c>
      <c r="B68" s="103" t="inlineStr">
        <is>
          <t>Plywood 6 mm, teak double face</t>
        </is>
      </c>
      <c r="C68" s="109">
        <f>C64+2*$C$176</f>
        <v/>
      </c>
      <c r="D68" s="96" t="inlineStr">
        <is>
          <t>IDR/sheet</t>
        </is>
      </c>
      <c r="E68" s="95" t="n"/>
      <c r="F68" s="95" t="n"/>
      <c r="G68" s="95" t="n"/>
      <c r="H68" s="95" t="n"/>
      <c r="I68" s="95" t="n"/>
    </row>
    <row r="69">
      <c r="A69" s="102" t="inlineStr">
        <is>
          <t>PLY-9-RAW</t>
        </is>
      </c>
      <c r="B69" s="103" t="inlineStr">
        <is>
          <t>Plywood 9 mm, raw</t>
        </is>
      </c>
      <c r="C69" s="105">
        <f>G69</f>
        <v/>
      </c>
      <c r="D69" s="96" t="inlineStr">
        <is>
          <t>IDR/sheet</t>
        </is>
      </c>
      <c r="E69" s="96" t="inlineStr">
        <is>
          <t>E2 landed Kudus (Linyi quote 16 Oct 2026). Grade LOCKED E2</t>
        </is>
      </c>
      <c r="F69" s="112">
        <f t="array" ref="F69">INDEX($F$178:$F$215,MATCH("LND-PLY-"&amp;$C$174&amp;"-9",$A$178:$A$215,0))</f>
        <v/>
      </c>
      <c r="G69" s="112">
        <f>F69*$C$172</f>
        <v/>
      </c>
      <c r="H69" s="95" t="n"/>
      <c r="I69" s="95" t="n"/>
    </row>
    <row r="70">
      <c r="A70" s="102" t="inlineStr">
        <is>
          <t>PLY-9-MSF</t>
        </is>
      </c>
      <c r="B70" s="103" t="inlineStr">
        <is>
          <t>Plywood 9 mm, mindi single face</t>
        </is>
      </c>
      <c r="C70" s="109">
        <f>C69+$C$175</f>
        <v/>
      </c>
      <c r="D70" s="96" t="inlineStr">
        <is>
          <t>IDR/sheet</t>
        </is>
      </c>
      <c r="E70" s="95" t="n"/>
      <c r="F70" s="95" t="n"/>
      <c r="G70" s="95" t="n"/>
      <c r="H70" s="95" t="n"/>
      <c r="I70" s="95" t="n"/>
    </row>
    <row r="71">
      <c r="A71" s="102" t="inlineStr">
        <is>
          <t>PLY-9-MDF</t>
        </is>
      </c>
      <c r="B71" s="103" t="inlineStr">
        <is>
          <t>Plywood 9 mm, mindi double face</t>
        </is>
      </c>
      <c r="C71" s="109">
        <f>C69+2*$C$175</f>
        <v/>
      </c>
      <c r="D71" s="96" t="inlineStr">
        <is>
          <t>IDR/sheet</t>
        </is>
      </c>
      <c r="E71" s="95" t="n"/>
      <c r="F71" s="95" t="n"/>
      <c r="G71" s="95" t="n"/>
      <c r="H71" s="95" t="n"/>
      <c r="I71" s="95" t="n"/>
    </row>
    <row r="72">
      <c r="A72" s="102" t="inlineStr">
        <is>
          <t>PLY-9-TSF</t>
        </is>
      </c>
      <c r="B72" s="103" t="inlineStr">
        <is>
          <t>Plywood 9 mm, teak single face</t>
        </is>
      </c>
      <c r="C72" s="109">
        <f>C69+$C$176</f>
        <v/>
      </c>
      <c r="D72" s="96" t="inlineStr">
        <is>
          <t>IDR/sheet</t>
        </is>
      </c>
      <c r="E72" s="95" t="n"/>
      <c r="F72" s="95" t="n"/>
      <c r="G72" s="95" t="n"/>
      <c r="H72" s="95" t="n"/>
      <c r="I72" s="95" t="n"/>
    </row>
    <row r="73">
      <c r="A73" s="102" t="inlineStr">
        <is>
          <t>PLY-9-TDF</t>
        </is>
      </c>
      <c r="B73" s="103" t="inlineStr">
        <is>
          <t>Plywood 9 mm, teak double face</t>
        </is>
      </c>
      <c r="C73" s="109">
        <f>C69+2*$C$176</f>
        <v/>
      </c>
      <c r="D73" s="96" t="inlineStr">
        <is>
          <t>IDR/sheet</t>
        </is>
      </c>
      <c r="E73" s="95" t="n"/>
      <c r="F73" s="95" t="n"/>
      <c r="G73" s="95" t="n"/>
      <c r="H73" s="95" t="n"/>
      <c r="I73" s="95" t="n"/>
    </row>
    <row r="74">
      <c r="A74" s="102" t="inlineStr">
        <is>
          <t>PLY-12-RAW</t>
        </is>
      </c>
      <c r="B74" s="103" t="inlineStr">
        <is>
          <t>Plywood 12 mm, raw</t>
        </is>
      </c>
      <c r="C74" s="105">
        <f>G74</f>
        <v/>
      </c>
      <c r="D74" s="96" t="inlineStr">
        <is>
          <t>IDR/sheet</t>
        </is>
      </c>
      <c r="E74" s="96" t="inlineStr">
        <is>
          <t>E2 landed Kudus (Linyi quote 16 Oct 2026). Grade LOCKED E2</t>
        </is>
      </c>
      <c r="F74" s="112">
        <f t="array" ref="F74">INDEX($F$178:$F$215,MATCH("LND-PLY-"&amp;$C$174&amp;"-12",$A$178:$A$215,0))</f>
        <v/>
      </c>
      <c r="G74" s="112">
        <f>F74*$C$172</f>
        <v/>
      </c>
      <c r="H74" s="95" t="n"/>
      <c r="I74" s="95" t="n"/>
    </row>
    <row r="75">
      <c r="A75" s="102" t="inlineStr">
        <is>
          <t>PLY-12-MSF</t>
        </is>
      </c>
      <c r="B75" s="103" t="inlineStr">
        <is>
          <t>Plywood 12 mm, mindi single face</t>
        </is>
      </c>
      <c r="C75" s="109">
        <f>C74+$C$175</f>
        <v/>
      </c>
      <c r="D75" s="96" t="inlineStr">
        <is>
          <t>IDR/sheet</t>
        </is>
      </c>
      <c r="E75" s="95" t="n"/>
      <c r="F75" s="95" t="n"/>
      <c r="G75" s="95" t="n"/>
      <c r="H75" s="95" t="n"/>
      <c r="I75" s="95" t="n"/>
    </row>
    <row r="76">
      <c r="A76" s="102" t="inlineStr">
        <is>
          <t>PLY-12-MDF</t>
        </is>
      </c>
      <c r="B76" s="103" t="inlineStr">
        <is>
          <t>Plywood 12 mm, mindi double face</t>
        </is>
      </c>
      <c r="C76" s="109">
        <f>C74+2*$C$175</f>
        <v/>
      </c>
      <c r="D76" s="96" t="inlineStr">
        <is>
          <t>IDR/sheet</t>
        </is>
      </c>
      <c r="E76" s="95" t="n"/>
      <c r="F76" s="95" t="n"/>
      <c r="G76" s="95" t="n"/>
      <c r="H76" s="95" t="n"/>
      <c r="I76" s="95" t="n"/>
    </row>
    <row r="77">
      <c r="A77" s="102" t="inlineStr">
        <is>
          <t>PLY-12-TSF</t>
        </is>
      </c>
      <c r="B77" s="103" t="inlineStr">
        <is>
          <t>Plywood 12 mm, teak single face</t>
        </is>
      </c>
      <c r="C77" s="109">
        <f>C74+$C$176</f>
        <v/>
      </c>
      <c r="D77" s="96" t="inlineStr">
        <is>
          <t>IDR/sheet</t>
        </is>
      </c>
      <c r="E77" s="95" t="n"/>
      <c r="F77" s="95" t="n"/>
      <c r="G77" s="95" t="n"/>
      <c r="H77" s="95" t="n"/>
      <c r="I77" s="95" t="n"/>
    </row>
    <row r="78">
      <c r="A78" s="102" t="inlineStr">
        <is>
          <t>PLY-12-TDF</t>
        </is>
      </c>
      <c r="B78" s="103" t="inlineStr">
        <is>
          <t>Plywood 12 mm, teak double face</t>
        </is>
      </c>
      <c r="C78" s="109">
        <f>C74+2*$C$176</f>
        <v/>
      </c>
      <c r="D78" s="96" t="inlineStr">
        <is>
          <t>IDR/sheet</t>
        </is>
      </c>
      <c r="E78" s="95" t="n"/>
      <c r="F78" s="95" t="n"/>
      <c r="G78" s="95" t="n"/>
      <c r="H78" s="95" t="n"/>
      <c r="I78" s="95" t="n"/>
    </row>
    <row r="79">
      <c r="A79" s="102" t="inlineStr">
        <is>
          <t>PLY-15-RAW</t>
        </is>
      </c>
      <c r="B79" s="103" t="inlineStr">
        <is>
          <t>Plywood 15 mm, raw</t>
        </is>
      </c>
      <c r="C79" s="105" t="n">
        <v>260000</v>
      </c>
      <c r="D79" s="96" t="inlineStr">
        <is>
          <t>IDR/sheet</t>
        </is>
      </c>
      <c r="E79" s="96" t="inlineStr">
        <is>
          <t>E2 landed Kudus (Linyi quote 16 Oct 2026). Grade LOCKED E2</t>
        </is>
      </c>
      <c r="F79" s="112">
        <f t="array" ref="F79">INDEX($F$178:$F$215,MATCH("LND-PLY-"&amp;$C$174&amp;"-15",$A$178:$A$215,0))</f>
        <v/>
      </c>
      <c r="G79" s="112">
        <f>F79*$C$172</f>
        <v/>
      </c>
      <c r="H79" s="95" t="n"/>
      <c r="I79" s="95" t="n"/>
    </row>
    <row r="80">
      <c r="A80" s="102" t="inlineStr">
        <is>
          <t>PLY-15-MSF</t>
        </is>
      </c>
      <c r="B80" s="103" t="inlineStr">
        <is>
          <t>Plywood 15 mm, mindi single face</t>
        </is>
      </c>
      <c r="C80" s="109" t="n">
        <v>407709.02</v>
      </c>
      <c r="D80" s="96" t="inlineStr">
        <is>
          <t>IDR/sheet</t>
        </is>
      </c>
      <c r="E80" s="95" t="n"/>
      <c r="F80" s="95" t="n"/>
      <c r="G80" s="95" t="n"/>
      <c r="H80" s="95" t="n"/>
      <c r="I80" s="95" t="n"/>
    </row>
    <row r="81">
      <c r="A81" s="102" t="inlineStr">
        <is>
          <t>PLY-15-MDF</t>
        </is>
      </c>
      <c r="B81" s="103" t="inlineStr">
        <is>
          <t>Plywood 15 mm, mindi double face</t>
        </is>
      </c>
      <c r="C81" s="109" t="n">
        <v>555418.04</v>
      </c>
      <c r="D81" s="96" t="inlineStr">
        <is>
          <t>IDR/sheet</t>
        </is>
      </c>
      <c r="E81" s="95" t="n"/>
      <c r="F81" s="95" t="n"/>
      <c r="G81" s="95" t="n"/>
      <c r="H81" s="95" t="n"/>
      <c r="I81" s="95" t="n"/>
    </row>
    <row r="82">
      <c r="A82" s="102" t="inlineStr">
        <is>
          <t>PLY-15-TSF</t>
        </is>
      </c>
      <c r="B82" s="103" t="inlineStr">
        <is>
          <t>Plywood 15 mm, teak single face</t>
        </is>
      </c>
      <c r="C82" s="109" t="n">
        <v>601201.02</v>
      </c>
      <c r="D82" s="96" t="inlineStr">
        <is>
          <t>IDR/sheet</t>
        </is>
      </c>
      <c r="E82" s="95" t="n"/>
      <c r="F82" s="95" t="n"/>
      <c r="G82" s="95" t="n"/>
      <c r="H82" s="95" t="n"/>
      <c r="I82" s="95" t="n"/>
    </row>
    <row r="83">
      <c r="A83" s="102" t="inlineStr">
        <is>
          <t>PLY-15-TDF</t>
        </is>
      </c>
      <c r="B83" s="103" t="inlineStr">
        <is>
          <t>Plywood 15 mm, teak double face</t>
        </is>
      </c>
      <c r="C83" s="109" t="n">
        <v>942402.04</v>
      </c>
      <c r="D83" s="96" t="inlineStr">
        <is>
          <t>IDR/sheet</t>
        </is>
      </c>
      <c r="E83" s="95" t="n"/>
      <c r="F83" s="95" t="n"/>
      <c r="G83" s="95" t="n"/>
      <c r="H83" s="95" t="n"/>
      <c r="I83" s="95" t="n"/>
    </row>
    <row r="84">
      <c r="A84" s="102" t="inlineStr">
        <is>
          <t>PLY-18-RAW</t>
        </is>
      </c>
      <c r="B84" s="103" t="inlineStr">
        <is>
          <t>Plywood 18 mm, raw</t>
        </is>
      </c>
      <c r="C84" s="105">
        <f>G84</f>
        <v/>
      </c>
      <c r="D84" s="96" t="inlineStr">
        <is>
          <t>IDR/sheet</t>
        </is>
      </c>
      <c r="E84" s="96" t="inlineStr">
        <is>
          <t>E2 landed Kudus (Linyi quote 16 Oct 2026). Grade LOCKED E2</t>
        </is>
      </c>
      <c r="F84" s="112">
        <f t="array" ref="F84">INDEX($F$178:$F$215,MATCH("LND-PLY-"&amp;$C$174&amp;"-18",$A$178:$A$215,0))</f>
        <v/>
      </c>
      <c r="G84" s="112">
        <f>F84*$C$172</f>
        <v/>
      </c>
      <c r="H84" s="95" t="n"/>
      <c r="I84" s="95" t="n"/>
    </row>
    <row r="85">
      <c r="A85" s="102" t="inlineStr">
        <is>
          <t>PLY-18-MSF</t>
        </is>
      </c>
      <c r="B85" s="103" t="inlineStr">
        <is>
          <t>Plywood 18 mm, mindi single face</t>
        </is>
      </c>
      <c r="C85" s="109">
        <f>C84+$C$175</f>
        <v/>
      </c>
      <c r="D85" s="96" t="inlineStr">
        <is>
          <t>IDR/sheet</t>
        </is>
      </c>
      <c r="E85" s="95" t="n"/>
      <c r="F85" s="95" t="n"/>
      <c r="G85" s="95" t="n"/>
      <c r="H85" s="95" t="n"/>
      <c r="I85" s="95" t="n"/>
    </row>
    <row r="86">
      <c r="A86" s="102" t="inlineStr">
        <is>
          <t>PLY-18-MDF</t>
        </is>
      </c>
      <c r="B86" s="103" t="inlineStr">
        <is>
          <t>Plywood 18 mm, mindi double face</t>
        </is>
      </c>
      <c r="C86" s="109">
        <f>C84+2*$C$175</f>
        <v/>
      </c>
      <c r="D86" s="96" t="inlineStr">
        <is>
          <t>IDR/sheet</t>
        </is>
      </c>
      <c r="E86" s="95" t="n"/>
      <c r="F86" s="95" t="n"/>
      <c r="G86" s="95" t="n"/>
      <c r="H86" s="95" t="n"/>
      <c r="I86" s="95" t="n"/>
    </row>
    <row r="87">
      <c r="A87" s="102" t="inlineStr">
        <is>
          <t>PLY-18-TSF</t>
        </is>
      </c>
      <c r="B87" s="103" t="inlineStr">
        <is>
          <t>Plywood 18 mm, teak single face</t>
        </is>
      </c>
      <c r="C87" s="109">
        <f>C84+$C$176</f>
        <v/>
      </c>
      <c r="D87" s="96" t="inlineStr">
        <is>
          <t>IDR/sheet</t>
        </is>
      </c>
      <c r="E87" s="95" t="n"/>
      <c r="F87" s="95" t="n"/>
      <c r="G87" s="95" t="n"/>
      <c r="H87" s="95" t="n"/>
      <c r="I87" s="95" t="n"/>
    </row>
    <row r="88">
      <c r="A88" s="102" t="inlineStr">
        <is>
          <t>PLY-18-TDF</t>
        </is>
      </c>
      <c r="B88" s="103" t="inlineStr">
        <is>
          <t>Plywood 18 mm, teak double face</t>
        </is>
      </c>
      <c r="C88" s="109">
        <f>C84+2*$C$176</f>
        <v/>
      </c>
      <c r="D88" s="96" t="inlineStr">
        <is>
          <t>IDR/sheet</t>
        </is>
      </c>
      <c r="E88" s="95" t="n"/>
      <c r="F88" s="95" t="n"/>
      <c r="G88" s="95" t="n"/>
      <c r="H88" s="95" t="n"/>
      <c r="I88" s="95" t="n"/>
    </row>
    <row r="89">
      <c r="A89" s="102" t="inlineStr">
        <is>
          <t>PLY-24-RAW</t>
        </is>
      </c>
      <c r="B89" s="103" t="inlineStr">
        <is>
          <t>Plywood 24 mm, raw</t>
        </is>
      </c>
      <c r="C89" s="105" t="n">
        <v>375000</v>
      </c>
      <c r="D89" s="96" t="inlineStr">
        <is>
          <t>IDR/sheet</t>
        </is>
      </c>
      <c r="E89" s="96" t="inlineStr">
        <is>
          <t>Extrapolated. Status CONFIRM</t>
        </is>
      </c>
      <c r="F89" s="95" t="n"/>
      <c r="G89" s="95" t="n"/>
      <c r="H89" s="95" t="n"/>
      <c r="I89" s="95" t="n"/>
    </row>
    <row r="90">
      <c r="A90" s="102" t="inlineStr">
        <is>
          <t>PLY-24-MSF</t>
        </is>
      </c>
      <c r="B90" s="103" t="inlineStr">
        <is>
          <t>Plywood 24 mm, mindi single face</t>
        </is>
      </c>
      <c r="C90" s="109" t="n">
        <v>522709.02</v>
      </c>
      <c r="D90" s="96" t="inlineStr">
        <is>
          <t>IDR/sheet</t>
        </is>
      </c>
      <c r="E90" s="95" t="n"/>
      <c r="F90" s="95" t="n"/>
      <c r="G90" s="95" t="n"/>
      <c r="H90" s="95" t="n"/>
      <c r="I90" s="95" t="n"/>
    </row>
    <row r="91">
      <c r="A91" s="102" t="inlineStr">
        <is>
          <t>PLY-24-MDF</t>
        </is>
      </c>
      <c r="B91" s="103" t="inlineStr">
        <is>
          <t>Plywood 24 mm, mindi double face</t>
        </is>
      </c>
      <c r="C91" s="109" t="n">
        <v>670418.04</v>
      </c>
      <c r="D91" s="96" t="inlineStr">
        <is>
          <t>IDR/sheet</t>
        </is>
      </c>
      <c r="E91" s="95" t="n"/>
      <c r="F91" s="95" t="n"/>
      <c r="G91" s="95" t="n"/>
      <c r="H91" s="95" t="n"/>
      <c r="I91" s="95" t="n"/>
    </row>
    <row r="92">
      <c r="A92" s="102" t="inlineStr">
        <is>
          <t>PLY-24-TSF</t>
        </is>
      </c>
      <c r="B92" s="103" t="inlineStr">
        <is>
          <t>Plywood 24 mm, teak single face</t>
        </is>
      </c>
      <c r="C92" s="109" t="n">
        <v>716201.02</v>
      </c>
      <c r="D92" s="96" t="inlineStr">
        <is>
          <t>IDR/sheet</t>
        </is>
      </c>
      <c r="E92" s="95" t="n"/>
      <c r="F92" s="95" t="n"/>
      <c r="G92" s="95" t="n"/>
      <c r="H92" s="95" t="n"/>
      <c r="I92" s="95" t="n"/>
    </row>
    <row r="93">
      <c r="A93" s="102" t="inlineStr">
        <is>
          <t>PLY-24-TDF</t>
        </is>
      </c>
      <c r="B93" s="103" t="inlineStr">
        <is>
          <t>Plywood 24 mm, teak double face</t>
        </is>
      </c>
      <c r="C93" s="109" t="n">
        <v>1057402.04</v>
      </c>
      <c r="D93" s="96" t="inlineStr">
        <is>
          <t>IDR/sheet</t>
        </is>
      </c>
      <c r="E93" s="95" t="n"/>
      <c r="F93" s="95" t="n"/>
      <c r="G93" s="95" t="n"/>
      <c r="H93" s="95" t="n"/>
      <c r="I93" s="95" t="n"/>
    </row>
    <row r="94">
      <c r="A94" s="102" t="inlineStr">
        <is>
          <t>NORMS</t>
        </is>
      </c>
      <c r="B94" s="93" t="n"/>
      <c r="C94" s="94" t="n"/>
      <c r="D94" s="95" t="n"/>
      <c r="E94" s="95" t="n"/>
      <c r="F94" s="95" t="n"/>
      <c r="G94" s="95" t="n"/>
      <c r="H94" s="95" t="n"/>
      <c r="I94" s="95" t="n"/>
    </row>
    <row r="95">
      <c r="A95" s="102" t="inlineStr">
        <is>
          <t>CARTON_MIN_M2</t>
        </is>
      </c>
      <c r="B95" s="103" t="inlineStr">
        <is>
          <t>Below this carton area use group A price</t>
        </is>
      </c>
      <c r="C95" s="107" t="n">
        <v>0.15</v>
      </c>
      <c r="D95" s="96" t="inlineStr">
        <is>
          <t>m²</t>
        </is>
      </c>
      <c r="E95" s="95" t="n"/>
      <c r="F95" s="95" t="n"/>
      <c r="G95" s="95" t="n"/>
      <c r="H95" s="95" t="n"/>
      <c r="I95" s="95" t="n"/>
    </row>
    <row r="96">
      <c r="A96" s="102" t="inlineStr">
        <is>
          <t>KD_PACK_FACTOR</t>
        </is>
      </c>
      <c r="B96" s="103" t="inlineStr">
        <is>
          <t>Extra consumables factor for flatpack (2+ boxes)</t>
        </is>
      </c>
      <c r="C96" s="106" t="n">
        <v>0</v>
      </c>
      <c r="D96" s="96" t="inlineStr">
        <is>
          <t>%</t>
        </is>
      </c>
      <c r="E96" s="96" t="inlineStr">
        <is>
          <t>0 = off</t>
        </is>
      </c>
      <c r="F96" s="95" t="n"/>
      <c r="G96" s="95" t="n"/>
      <c r="H96" s="95" t="n"/>
      <c r="I96" s="95" t="n"/>
    </row>
    <row r="97">
      <c r="A97" s="102" t="inlineStr">
        <is>
          <t>WASTE_REUSE_MIN</t>
        </is>
      </c>
      <c r="B97" s="103" t="inlineStr">
        <is>
          <t>Offcut on the last sheet counts as reusable when waste exceeds this</t>
        </is>
      </c>
      <c r="C97" s="106" t="n">
        <v>0.25</v>
      </c>
      <c r="D97" s="96" t="inlineStr">
        <is>
          <t>%</t>
        </is>
      </c>
      <c r="E97" s="96" t="inlineStr">
        <is>
          <t>Decision 29 Sep</t>
        </is>
      </c>
      <c r="F97" s="95" t="n"/>
      <c r="G97" s="95" t="n"/>
      <c r="H97" s="95" t="n"/>
      <c r="I97" s="95" t="n"/>
    </row>
    <row r="98">
      <c r="A98" s="102" t="inlineStr">
        <is>
          <t>OFFCUT_HANDLING</t>
        </is>
      </c>
      <c r="B98" s="103" t="inlineStr">
        <is>
          <t>Handling factor on fractional sheets when the offcut is reused</t>
        </is>
      </c>
      <c r="C98" s="106" t="n">
        <v>0.05</v>
      </c>
      <c r="D98" s="96" t="inlineStr">
        <is>
          <t>%</t>
        </is>
      </c>
      <c r="E98" s="95" t="n"/>
      <c r="F98" s="95" t="n"/>
      <c r="G98" s="95" t="n"/>
      <c r="H98" s="95" t="n"/>
      <c r="I98" s="95" t="n"/>
    </row>
    <row r="99">
      <c r="A99" s="113" t="inlineStr">
        <is>
          <t>PLY-12-CDF</t>
        </is>
      </c>
      <c r="B99" s="93" t="n"/>
      <c r="C99" s="114" t="n">
        <v>718794.04</v>
      </c>
      <c r="D99" s="113" t="inlineStr">
        <is>
          <t>IDR/sheet</t>
        </is>
      </c>
      <c r="E99" s="113" t="inlineStr">
        <is>
          <t>rate card DB (price list 2026)</t>
        </is>
      </c>
      <c r="F99" s="95" t="n"/>
      <c r="G99" s="95" t="n"/>
      <c r="H99" s="95" t="n"/>
      <c r="I99" s="95" t="n"/>
    </row>
    <row r="100">
      <c r="A100" s="113" t="inlineStr">
        <is>
          <t>PLY-12-CSF</t>
        </is>
      </c>
      <c r="B100" s="93" t="n"/>
      <c r="C100" s="114" t="n">
        <v>466897.02</v>
      </c>
      <c r="D100" s="113" t="inlineStr">
        <is>
          <t>IDR/sheet</t>
        </is>
      </c>
      <c r="E100" s="113" t="inlineStr">
        <is>
          <t>rate card DB (price list 2026)</t>
        </is>
      </c>
      <c r="F100" s="95" t="n"/>
      <c r="G100" s="95" t="n"/>
      <c r="H100" s="95" t="n"/>
      <c r="I100" s="95" t="n"/>
    </row>
    <row r="101">
      <c r="A101" s="113" t="inlineStr">
        <is>
          <t>PLY-12-HDF</t>
        </is>
      </c>
      <c r="B101" s="93" t="n"/>
      <c r="C101" s="114" t="n">
        <v>510418.04</v>
      </c>
      <c r="D101" s="113" t="inlineStr">
        <is>
          <t>IDR/sheet</t>
        </is>
      </c>
      <c r="E101" s="113" t="inlineStr">
        <is>
          <t>rate card DB (price list 2026)</t>
        </is>
      </c>
      <c r="F101" s="95" t="n"/>
      <c r="G101" s="95" t="n"/>
      <c r="H101" s="95" t="n"/>
      <c r="I101" s="95" t="n"/>
    </row>
    <row r="102">
      <c r="A102" s="113" t="inlineStr">
        <is>
          <t>PLY-12-HSF</t>
        </is>
      </c>
      <c r="B102" s="93" t="n"/>
      <c r="C102" s="114" t="n">
        <v>362709.02</v>
      </c>
      <c r="D102" s="113" t="inlineStr">
        <is>
          <t>IDR/sheet</t>
        </is>
      </c>
      <c r="E102" s="113" t="inlineStr">
        <is>
          <t>rate card DB (price list 2026)</t>
        </is>
      </c>
      <c r="F102" s="95" t="n"/>
      <c r="G102" s="95" t="n"/>
      <c r="H102" s="95" t="n"/>
      <c r="I102" s="95" t="n"/>
    </row>
    <row r="103">
      <c r="A103" s="113" t="inlineStr">
        <is>
          <t>PLY-12-ODF</t>
        </is>
      </c>
      <c r="B103" s="93" t="n"/>
      <c r="C103" s="114" t="n">
        <v>1016474.04</v>
      </c>
      <c r="D103" s="113" t="inlineStr">
        <is>
          <t>IDR/sheet</t>
        </is>
      </c>
      <c r="E103" s="113" t="inlineStr">
        <is>
          <t>rate card DB (price list 2026)</t>
        </is>
      </c>
      <c r="F103" s="95" t="n"/>
      <c r="G103" s="95" t="n"/>
      <c r="H103" s="95" t="n"/>
      <c r="I103" s="95" t="n"/>
    </row>
    <row r="104">
      <c r="A104" s="113" t="inlineStr">
        <is>
          <t>PLY-12-OSF</t>
        </is>
      </c>
      <c r="B104" s="93" t="n"/>
      <c r="C104" s="114" t="n">
        <v>615737.02</v>
      </c>
      <c r="D104" s="113" t="inlineStr">
        <is>
          <t>IDR/sheet</t>
        </is>
      </c>
      <c r="E104" s="113" t="inlineStr">
        <is>
          <t>rate card DB (price list 2026)</t>
        </is>
      </c>
      <c r="F104" s="95" t="n"/>
      <c r="G104" s="95" t="n"/>
      <c r="H104" s="95" t="n"/>
      <c r="I104" s="95" t="n"/>
    </row>
    <row r="105">
      <c r="A105" s="113" t="inlineStr">
        <is>
          <t>PLY-12-SDF</t>
        </is>
      </c>
      <c r="B105" s="93" t="n"/>
      <c r="C105" s="114" t="n">
        <v>689026.04</v>
      </c>
      <c r="D105" s="113" t="inlineStr">
        <is>
          <t>IDR/sheet</t>
        </is>
      </c>
      <c r="E105" s="113" t="inlineStr">
        <is>
          <t>rate card DB (price list 2026)</t>
        </is>
      </c>
      <c r="F105" s="95" t="n"/>
      <c r="G105" s="95" t="n"/>
      <c r="H105" s="95" t="n"/>
      <c r="I105" s="95" t="n"/>
    </row>
    <row r="106">
      <c r="A106" s="113" t="inlineStr">
        <is>
          <t>PLY-12-SSF</t>
        </is>
      </c>
      <c r="B106" s="93" t="n"/>
      <c r="C106" s="114" t="n">
        <v>452013.02</v>
      </c>
      <c r="D106" s="113" t="inlineStr">
        <is>
          <t>IDR/sheet</t>
        </is>
      </c>
      <c r="E106" s="113" t="inlineStr">
        <is>
          <t>rate card DB (price list 2026)</t>
        </is>
      </c>
      <c r="F106" s="95" t="n"/>
      <c r="G106" s="95" t="n"/>
      <c r="H106" s="95" t="n"/>
      <c r="I106" s="95" t="n"/>
    </row>
    <row r="107">
      <c r="A107" s="113" t="inlineStr">
        <is>
          <t>PLY-12-WDF</t>
        </is>
      </c>
      <c r="B107" s="93" t="n"/>
      <c r="C107" s="114" t="n">
        <v>1105778.04</v>
      </c>
      <c r="D107" s="113" t="inlineStr">
        <is>
          <t>IDR/sheet</t>
        </is>
      </c>
      <c r="E107" s="113" t="inlineStr">
        <is>
          <t>rate card DB (price list 2026)</t>
        </is>
      </c>
      <c r="F107" s="95" t="n"/>
      <c r="G107" s="95" t="n"/>
      <c r="H107" s="95" t="n"/>
      <c r="I107" s="95" t="n"/>
    </row>
    <row r="108">
      <c r="A108" s="113" t="inlineStr">
        <is>
          <t>PLY-12-WSF</t>
        </is>
      </c>
      <c r="B108" s="93" t="n"/>
      <c r="C108" s="114" t="n">
        <v>660389.02</v>
      </c>
      <c r="D108" s="113" t="inlineStr">
        <is>
          <t>IDR/sheet</t>
        </is>
      </c>
      <c r="E108" s="113" t="inlineStr">
        <is>
          <t>rate card DB (price list 2026)</t>
        </is>
      </c>
      <c r="F108" s="95" t="n"/>
      <c r="G108" s="95" t="n"/>
      <c r="H108" s="95" t="n"/>
      <c r="I108" s="95" t="n"/>
    </row>
    <row r="109">
      <c r="A109" s="113" t="inlineStr">
        <is>
          <t>PLY-15-CDF</t>
        </is>
      </c>
      <c r="B109" s="93" t="n"/>
      <c r="C109" s="114" t="n">
        <v>763794.04</v>
      </c>
      <c r="D109" s="113" t="inlineStr">
        <is>
          <t>IDR/sheet</t>
        </is>
      </c>
      <c r="E109" s="113" t="inlineStr">
        <is>
          <t>rate card DB (price list 2026)</t>
        </is>
      </c>
      <c r="F109" s="95" t="n"/>
      <c r="G109" s="95" t="n"/>
      <c r="H109" s="95" t="n"/>
      <c r="I109" s="95" t="n"/>
    </row>
    <row r="110">
      <c r="A110" s="113" t="inlineStr">
        <is>
          <t>PLY-15-CSF</t>
        </is>
      </c>
      <c r="B110" s="93" t="n"/>
      <c r="C110" s="114" t="n">
        <v>511897.02</v>
      </c>
      <c r="D110" s="113" t="inlineStr">
        <is>
          <t>IDR/sheet</t>
        </is>
      </c>
      <c r="E110" s="113" t="inlineStr">
        <is>
          <t>rate card DB (price list 2026)</t>
        </is>
      </c>
      <c r="F110" s="95" t="n"/>
      <c r="G110" s="95" t="n"/>
      <c r="H110" s="95" t="n"/>
      <c r="I110" s="95" t="n"/>
    </row>
    <row r="111">
      <c r="A111" s="113" t="inlineStr">
        <is>
          <t>PLY-15-HDF</t>
        </is>
      </c>
      <c r="B111" s="93" t="n"/>
      <c r="C111" s="114" t="n">
        <v>555418.04</v>
      </c>
      <c r="D111" s="113" t="inlineStr">
        <is>
          <t>IDR/sheet</t>
        </is>
      </c>
      <c r="E111" s="113" t="inlineStr">
        <is>
          <t>rate card DB (price list 2026)</t>
        </is>
      </c>
      <c r="F111" s="95" t="n"/>
      <c r="G111" s="95" t="n"/>
      <c r="H111" s="95" t="n"/>
      <c r="I111" s="95" t="n"/>
    </row>
    <row r="112">
      <c r="A112" s="113" t="inlineStr">
        <is>
          <t>PLY-15-HSF</t>
        </is>
      </c>
      <c r="B112" s="93" t="n"/>
      <c r="C112" s="114" t="n">
        <v>407709.02</v>
      </c>
      <c r="D112" s="113" t="inlineStr">
        <is>
          <t>IDR/sheet</t>
        </is>
      </c>
      <c r="E112" s="113" t="inlineStr">
        <is>
          <t>rate card DB (price list 2026)</t>
        </is>
      </c>
      <c r="F112" s="95" t="n"/>
      <c r="G112" s="95" t="n"/>
      <c r="H112" s="95" t="n"/>
      <c r="I112" s="95" t="n"/>
    </row>
    <row r="113">
      <c r="A113" s="113" t="inlineStr">
        <is>
          <t>PLY-15-ODF</t>
        </is>
      </c>
      <c r="B113" s="93" t="n"/>
      <c r="C113" s="114" t="n">
        <v>1061474.04</v>
      </c>
      <c r="D113" s="113" t="inlineStr">
        <is>
          <t>IDR/sheet</t>
        </is>
      </c>
      <c r="E113" s="113" t="inlineStr">
        <is>
          <t>rate card DB (price list 2026)</t>
        </is>
      </c>
      <c r="F113" s="95" t="n"/>
      <c r="G113" s="95" t="n"/>
      <c r="H113" s="95" t="n"/>
      <c r="I113" s="95" t="n"/>
    </row>
    <row r="114">
      <c r="A114" s="113" t="inlineStr">
        <is>
          <t>PLY-15-OSF</t>
        </is>
      </c>
      <c r="B114" s="93" t="n"/>
      <c r="C114" s="114" t="n">
        <v>660737.02</v>
      </c>
      <c r="D114" s="113" t="inlineStr">
        <is>
          <t>IDR/sheet</t>
        </is>
      </c>
      <c r="E114" s="113" t="inlineStr">
        <is>
          <t>rate card DB (price list 2026)</t>
        </is>
      </c>
      <c r="F114" s="95" t="n"/>
      <c r="G114" s="95" t="n"/>
      <c r="H114" s="95" t="n"/>
      <c r="I114" s="95" t="n"/>
    </row>
    <row r="115">
      <c r="A115" s="113" t="inlineStr">
        <is>
          <t>PLY-15-SDF</t>
        </is>
      </c>
      <c r="B115" s="93" t="n"/>
      <c r="C115" s="114" t="n">
        <v>734026.04</v>
      </c>
      <c r="D115" s="113" t="inlineStr">
        <is>
          <t>IDR/sheet</t>
        </is>
      </c>
      <c r="E115" s="113" t="inlineStr">
        <is>
          <t>rate card DB (price list 2026)</t>
        </is>
      </c>
      <c r="F115" s="95" t="n"/>
      <c r="G115" s="95" t="n"/>
      <c r="H115" s="95" t="n"/>
      <c r="I115" s="95" t="n"/>
    </row>
    <row r="116">
      <c r="A116" s="113" t="inlineStr">
        <is>
          <t>PLY-15-SSF</t>
        </is>
      </c>
      <c r="B116" s="93" t="n"/>
      <c r="C116" s="114" t="n">
        <v>497013.02</v>
      </c>
      <c r="D116" s="113" t="inlineStr">
        <is>
          <t>IDR/sheet</t>
        </is>
      </c>
      <c r="E116" s="113" t="inlineStr">
        <is>
          <t>rate card DB (price list 2026)</t>
        </is>
      </c>
      <c r="F116" s="95" t="n"/>
      <c r="G116" s="95" t="n"/>
      <c r="H116" s="95" t="n"/>
      <c r="I116" s="95" t="n"/>
    </row>
    <row r="117">
      <c r="A117" s="113" t="inlineStr">
        <is>
          <t>PLY-15-WDF</t>
        </is>
      </c>
      <c r="B117" s="93" t="n"/>
      <c r="C117" s="114" t="n">
        <v>1150778.04</v>
      </c>
      <c r="D117" s="113" t="inlineStr">
        <is>
          <t>IDR/sheet</t>
        </is>
      </c>
      <c r="E117" s="113" t="inlineStr">
        <is>
          <t>rate card DB (price list 2026)</t>
        </is>
      </c>
      <c r="F117" s="95" t="n"/>
      <c r="G117" s="95" t="n"/>
      <c r="H117" s="95" t="n"/>
      <c r="I117" s="95" t="n"/>
    </row>
    <row r="118">
      <c r="A118" s="113" t="inlineStr">
        <is>
          <t>PLY-15-WSF</t>
        </is>
      </c>
      <c r="B118" s="93" t="n"/>
      <c r="C118" s="114" t="n">
        <v>705389.02</v>
      </c>
      <c r="D118" s="113" t="inlineStr">
        <is>
          <t>IDR/sheet</t>
        </is>
      </c>
      <c r="E118" s="113" t="inlineStr">
        <is>
          <t>rate card DB (price list 2026)</t>
        </is>
      </c>
      <c r="F118" s="95" t="n"/>
      <c r="G118" s="95" t="n"/>
      <c r="H118" s="95" t="n"/>
      <c r="I118" s="95" t="n"/>
    </row>
    <row r="119">
      <c r="A119" s="113" t="inlineStr">
        <is>
          <t>PLY-18-CDF</t>
        </is>
      </c>
      <c r="B119" s="93" t="n"/>
      <c r="C119" s="114" t="n">
        <v>798794.04</v>
      </c>
      <c r="D119" s="113" t="inlineStr">
        <is>
          <t>IDR/sheet</t>
        </is>
      </c>
      <c r="E119" s="113" t="inlineStr">
        <is>
          <t>rate card DB (price list 2026)</t>
        </is>
      </c>
      <c r="F119" s="95" t="n"/>
      <c r="G119" s="95" t="n"/>
      <c r="H119" s="95" t="n"/>
      <c r="I119" s="95" t="n"/>
    </row>
    <row r="120">
      <c r="A120" s="113" t="inlineStr">
        <is>
          <t>PLY-18-CSF</t>
        </is>
      </c>
      <c r="B120" s="93" t="n"/>
      <c r="C120" s="114" t="n">
        <v>546897.02</v>
      </c>
      <c r="D120" s="113" t="inlineStr">
        <is>
          <t>IDR/sheet</t>
        </is>
      </c>
      <c r="E120" s="113" t="inlineStr">
        <is>
          <t>rate card DB (price list 2026)</t>
        </is>
      </c>
      <c r="F120" s="95" t="n"/>
      <c r="G120" s="95" t="n"/>
      <c r="H120" s="95" t="n"/>
      <c r="I120" s="95" t="n"/>
    </row>
    <row r="121">
      <c r="A121" s="113" t="inlineStr">
        <is>
          <t>PLY-18-HDF</t>
        </is>
      </c>
      <c r="B121" s="93" t="n"/>
      <c r="C121" s="114" t="n">
        <v>590418.04</v>
      </c>
      <c r="D121" s="113" t="inlineStr">
        <is>
          <t>IDR/sheet</t>
        </is>
      </c>
      <c r="E121" s="113" t="inlineStr">
        <is>
          <t>rate card DB (price list 2026)</t>
        </is>
      </c>
      <c r="F121" s="95" t="n"/>
      <c r="G121" s="95" t="n"/>
      <c r="H121" s="95" t="n"/>
      <c r="I121" s="95" t="n"/>
    </row>
    <row r="122">
      <c r="A122" s="113" t="inlineStr">
        <is>
          <t>PLY-18-HSF</t>
        </is>
      </c>
      <c r="B122" s="93" t="n"/>
      <c r="C122" s="114" t="n">
        <v>442709.02</v>
      </c>
      <c r="D122" s="113" t="inlineStr">
        <is>
          <t>IDR/sheet</t>
        </is>
      </c>
      <c r="E122" s="113" t="inlineStr">
        <is>
          <t>rate card DB (price list 2026)</t>
        </is>
      </c>
      <c r="F122" s="95" t="n"/>
      <c r="G122" s="95" t="n"/>
      <c r="H122" s="95" t="n"/>
      <c r="I122" s="95" t="n"/>
    </row>
    <row r="123">
      <c r="A123" s="113" t="inlineStr">
        <is>
          <t>PLY-18-ODF</t>
        </is>
      </c>
      <c r="B123" s="93" t="n"/>
      <c r="C123" s="114" t="n">
        <v>1096474.04</v>
      </c>
      <c r="D123" s="113" t="inlineStr">
        <is>
          <t>IDR/sheet</t>
        </is>
      </c>
      <c r="E123" s="113" t="inlineStr">
        <is>
          <t>rate card DB (price list 2026)</t>
        </is>
      </c>
      <c r="F123" s="95" t="n"/>
      <c r="G123" s="95" t="n"/>
      <c r="H123" s="95" t="n"/>
      <c r="I123" s="95" t="n"/>
    </row>
    <row r="124">
      <c r="A124" s="113" t="inlineStr">
        <is>
          <t>PLY-18-OSF</t>
        </is>
      </c>
      <c r="B124" s="93" t="n"/>
      <c r="C124" s="114" t="n">
        <v>695737.02</v>
      </c>
      <c r="D124" s="113" t="inlineStr">
        <is>
          <t>IDR/sheet</t>
        </is>
      </c>
      <c r="E124" s="113" t="inlineStr">
        <is>
          <t>rate card DB (price list 2026)</t>
        </is>
      </c>
      <c r="F124" s="95" t="n"/>
      <c r="G124" s="95" t="n"/>
      <c r="H124" s="95" t="n"/>
      <c r="I124" s="95" t="n"/>
    </row>
    <row r="125">
      <c r="A125" s="113" t="inlineStr">
        <is>
          <t>PLY-18-SDF</t>
        </is>
      </c>
      <c r="B125" s="93" t="n"/>
      <c r="C125" s="114" t="n">
        <v>769026.04</v>
      </c>
      <c r="D125" s="113" t="inlineStr">
        <is>
          <t>IDR/sheet</t>
        </is>
      </c>
      <c r="E125" s="113" t="inlineStr">
        <is>
          <t>rate card DB (price list 2026)</t>
        </is>
      </c>
      <c r="F125" s="95" t="n"/>
      <c r="G125" s="95" t="n"/>
      <c r="H125" s="95" t="n"/>
      <c r="I125" s="95" t="n"/>
    </row>
    <row r="126">
      <c r="A126" s="113" t="inlineStr">
        <is>
          <t>PLY-18-SSF</t>
        </is>
      </c>
      <c r="B126" s="93" t="n"/>
      <c r="C126" s="114" t="n">
        <v>532013.02</v>
      </c>
      <c r="D126" s="113" t="inlineStr">
        <is>
          <t>IDR/sheet</t>
        </is>
      </c>
      <c r="E126" s="113" t="inlineStr">
        <is>
          <t>rate card DB (price list 2026)</t>
        </is>
      </c>
      <c r="F126" s="95" t="n"/>
      <c r="G126" s="95" t="n"/>
      <c r="H126" s="95" t="n"/>
      <c r="I126" s="95" t="n"/>
    </row>
    <row r="127">
      <c r="A127" s="113" t="inlineStr">
        <is>
          <t>PLY-18-WDF</t>
        </is>
      </c>
      <c r="B127" s="93" t="n"/>
      <c r="C127" s="114" t="n">
        <v>1185778.04</v>
      </c>
      <c r="D127" s="113" t="inlineStr">
        <is>
          <t>IDR/sheet</t>
        </is>
      </c>
      <c r="E127" s="113" t="inlineStr">
        <is>
          <t>rate card DB (price list 2026)</t>
        </is>
      </c>
      <c r="F127" s="95" t="n"/>
      <c r="G127" s="95" t="n"/>
      <c r="H127" s="95" t="n"/>
      <c r="I127" s="95" t="n"/>
    </row>
    <row r="128">
      <c r="A128" s="113" t="inlineStr">
        <is>
          <t>PLY-18-WSF</t>
        </is>
      </c>
      <c r="B128" s="93" t="n"/>
      <c r="C128" s="114" t="n">
        <v>740389.02</v>
      </c>
      <c r="D128" s="113" t="inlineStr">
        <is>
          <t>IDR/sheet</t>
        </is>
      </c>
      <c r="E128" s="113" t="inlineStr">
        <is>
          <t>rate card DB (price list 2026)</t>
        </is>
      </c>
      <c r="F128" s="95" t="n"/>
      <c r="G128" s="95" t="n"/>
      <c r="H128" s="95" t="n"/>
      <c r="I128" s="95" t="n"/>
    </row>
    <row r="129">
      <c r="A129" s="113" t="inlineStr">
        <is>
          <t>PLY-24-CDF</t>
        </is>
      </c>
      <c r="B129" s="93" t="n"/>
      <c r="C129" s="114" t="n">
        <v>878794.04</v>
      </c>
      <c r="D129" s="113" t="inlineStr">
        <is>
          <t>IDR/sheet</t>
        </is>
      </c>
      <c r="E129" s="113" t="inlineStr">
        <is>
          <t>rate card DB (price list 2026)</t>
        </is>
      </c>
      <c r="F129" s="95" t="n"/>
      <c r="G129" s="95" t="n"/>
      <c r="H129" s="95" t="n"/>
      <c r="I129" s="95" t="n"/>
    </row>
    <row r="130">
      <c r="A130" s="113" t="inlineStr">
        <is>
          <t>PLY-24-CSF</t>
        </is>
      </c>
      <c r="B130" s="93" t="n"/>
      <c r="C130" s="114" t="n">
        <v>626897.02</v>
      </c>
      <c r="D130" s="113" t="inlineStr">
        <is>
          <t>IDR/sheet</t>
        </is>
      </c>
      <c r="E130" s="113" t="inlineStr">
        <is>
          <t>rate card DB (price list 2026)</t>
        </is>
      </c>
      <c r="F130" s="95" t="n"/>
      <c r="G130" s="95" t="n"/>
      <c r="H130" s="95" t="n"/>
      <c r="I130" s="95" t="n"/>
    </row>
    <row r="131">
      <c r="A131" s="113" t="inlineStr">
        <is>
          <t>PLY-24-HDF</t>
        </is>
      </c>
      <c r="B131" s="93" t="n"/>
      <c r="C131" s="114" t="n">
        <v>670418.04</v>
      </c>
      <c r="D131" s="113" t="inlineStr">
        <is>
          <t>IDR/sheet</t>
        </is>
      </c>
      <c r="E131" s="113" t="inlineStr">
        <is>
          <t>rate card DB (price list 2026)</t>
        </is>
      </c>
      <c r="F131" s="95" t="n"/>
      <c r="G131" s="95" t="n"/>
      <c r="H131" s="95" t="n"/>
      <c r="I131" s="95" t="n"/>
    </row>
    <row r="132">
      <c r="A132" s="113" t="inlineStr">
        <is>
          <t>PLY-24-HSF</t>
        </is>
      </c>
      <c r="B132" s="93" t="n"/>
      <c r="C132" s="114" t="n">
        <v>522709.02</v>
      </c>
      <c r="D132" s="113" t="inlineStr">
        <is>
          <t>IDR/sheet</t>
        </is>
      </c>
      <c r="E132" s="113" t="inlineStr">
        <is>
          <t>rate card DB (price list 2026)</t>
        </is>
      </c>
      <c r="F132" s="95" t="n"/>
      <c r="G132" s="95" t="n"/>
      <c r="H132" s="95" t="n"/>
      <c r="I132" s="95" t="n"/>
    </row>
    <row r="133">
      <c r="A133" s="113" t="inlineStr">
        <is>
          <t>PLY-24-ODF</t>
        </is>
      </c>
      <c r="B133" s="93" t="n"/>
      <c r="C133" s="114" t="n">
        <v>1176474.04</v>
      </c>
      <c r="D133" s="113" t="inlineStr">
        <is>
          <t>IDR/sheet</t>
        </is>
      </c>
      <c r="E133" s="113" t="inlineStr">
        <is>
          <t>rate card DB (price list 2026)</t>
        </is>
      </c>
      <c r="F133" s="95" t="n"/>
      <c r="G133" s="95" t="n"/>
      <c r="H133" s="95" t="n"/>
      <c r="I133" s="95" t="n"/>
    </row>
    <row r="134">
      <c r="A134" s="113" t="inlineStr">
        <is>
          <t>PLY-24-OSF</t>
        </is>
      </c>
      <c r="B134" s="93" t="n"/>
      <c r="C134" s="114" t="n">
        <v>775737.02</v>
      </c>
      <c r="D134" s="113" t="inlineStr">
        <is>
          <t>IDR/sheet</t>
        </is>
      </c>
      <c r="E134" s="113" t="inlineStr">
        <is>
          <t>rate card DB (price list 2026)</t>
        </is>
      </c>
      <c r="F134" s="95" t="n"/>
      <c r="G134" s="95" t="n"/>
      <c r="H134" s="95" t="n"/>
      <c r="I134" s="95" t="n"/>
    </row>
    <row r="135">
      <c r="A135" s="113" t="inlineStr">
        <is>
          <t>PLY-24-SDF</t>
        </is>
      </c>
      <c r="B135" s="93" t="n"/>
      <c r="C135" s="114" t="n">
        <v>849026.04</v>
      </c>
      <c r="D135" s="113" t="inlineStr">
        <is>
          <t>IDR/sheet</t>
        </is>
      </c>
      <c r="E135" s="113" t="inlineStr">
        <is>
          <t>rate card DB (price list 2026)</t>
        </is>
      </c>
      <c r="F135" s="95" t="n"/>
      <c r="G135" s="95" t="n"/>
      <c r="H135" s="95" t="n"/>
      <c r="I135" s="95" t="n"/>
    </row>
    <row r="136">
      <c r="A136" s="113" t="inlineStr">
        <is>
          <t>PLY-24-SSF</t>
        </is>
      </c>
      <c r="B136" s="93" t="n"/>
      <c r="C136" s="114" t="n">
        <v>612013.02</v>
      </c>
      <c r="D136" s="113" t="inlineStr">
        <is>
          <t>IDR/sheet</t>
        </is>
      </c>
      <c r="E136" s="113" t="inlineStr">
        <is>
          <t>rate card DB (price list 2026)</t>
        </is>
      </c>
      <c r="F136" s="95" t="n"/>
      <c r="G136" s="95" t="n"/>
      <c r="H136" s="95" t="n"/>
      <c r="I136" s="95" t="n"/>
    </row>
    <row r="137">
      <c r="A137" s="113" t="inlineStr">
        <is>
          <t>PLY-24-WDF</t>
        </is>
      </c>
      <c r="B137" s="93" t="n"/>
      <c r="C137" s="114" t="n">
        <v>1265778.04</v>
      </c>
      <c r="D137" s="113" t="inlineStr">
        <is>
          <t>IDR/sheet</t>
        </is>
      </c>
      <c r="E137" s="113" t="inlineStr">
        <is>
          <t>rate card DB (price list 2026)</t>
        </is>
      </c>
      <c r="F137" s="95" t="n"/>
      <c r="G137" s="95" t="n"/>
      <c r="H137" s="95" t="n"/>
      <c r="I137" s="95" t="n"/>
    </row>
    <row r="138">
      <c r="A138" s="113" t="inlineStr">
        <is>
          <t>PLY-24-WSF</t>
        </is>
      </c>
      <c r="B138" s="93" t="n"/>
      <c r="C138" s="114" t="n">
        <v>820389.02</v>
      </c>
      <c r="D138" s="113" t="inlineStr">
        <is>
          <t>IDR/sheet</t>
        </is>
      </c>
      <c r="E138" s="113" t="inlineStr">
        <is>
          <t>rate card DB (price list 2026)</t>
        </is>
      </c>
      <c r="F138" s="95" t="n"/>
      <c r="G138" s="95" t="n"/>
      <c r="H138" s="95" t="n"/>
      <c r="I138" s="95" t="n"/>
    </row>
    <row r="139">
      <c r="A139" s="113" t="inlineStr">
        <is>
          <t>PLY-3-CDF</t>
        </is>
      </c>
      <c r="B139" s="93" t="n"/>
      <c r="C139" s="114" t="n">
        <v>581294.04</v>
      </c>
      <c r="D139" s="113" t="inlineStr">
        <is>
          <t>IDR/sheet</t>
        </is>
      </c>
      <c r="E139" s="113" t="inlineStr">
        <is>
          <t>rate card DB (price list 2026)</t>
        </is>
      </c>
      <c r="F139" s="95" t="n"/>
      <c r="G139" s="95" t="n"/>
      <c r="H139" s="95" t="n"/>
      <c r="I139" s="95" t="n"/>
    </row>
    <row r="140">
      <c r="A140" s="113" t="inlineStr">
        <is>
          <t>PLY-3-CSF</t>
        </is>
      </c>
      <c r="B140" s="93" t="n"/>
      <c r="C140" s="114" t="n">
        <v>329397.02</v>
      </c>
      <c r="D140" s="113" t="inlineStr">
        <is>
          <t>IDR/sheet</t>
        </is>
      </c>
      <c r="E140" s="113" t="inlineStr">
        <is>
          <t>rate card DB (price list 2026)</t>
        </is>
      </c>
      <c r="F140" s="95" t="n"/>
      <c r="G140" s="95" t="n"/>
      <c r="H140" s="95" t="n"/>
      <c r="I140" s="95" t="n"/>
    </row>
    <row r="141">
      <c r="A141" s="113" t="inlineStr">
        <is>
          <t>PLY-3-HDF</t>
        </is>
      </c>
      <c r="B141" s="93" t="n"/>
      <c r="C141" s="114" t="n">
        <v>372918.04</v>
      </c>
      <c r="D141" s="113" t="inlineStr">
        <is>
          <t>IDR/sheet</t>
        </is>
      </c>
      <c r="E141" s="113" t="inlineStr">
        <is>
          <t>rate card DB (price list 2026)</t>
        </is>
      </c>
      <c r="F141" s="95" t="n"/>
      <c r="G141" s="95" t="n"/>
      <c r="H141" s="95" t="n"/>
      <c r="I141" s="95" t="n"/>
    </row>
    <row r="142">
      <c r="A142" s="113" t="inlineStr">
        <is>
          <t>PLY-3-HSF</t>
        </is>
      </c>
      <c r="B142" s="93" t="n"/>
      <c r="C142" s="114" t="n">
        <v>225209.02</v>
      </c>
      <c r="D142" s="113" t="inlineStr">
        <is>
          <t>IDR/sheet</t>
        </is>
      </c>
      <c r="E142" s="113" t="inlineStr">
        <is>
          <t>rate card DB (price list 2026)</t>
        </is>
      </c>
      <c r="F142" s="95" t="n"/>
      <c r="G142" s="95" t="n"/>
      <c r="H142" s="95" t="n"/>
      <c r="I142" s="95" t="n"/>
    </row>
    <row r="143">
      <c r="A143" s="113" t="inlineStr">
        <is>
          <t>PLY-3-ODF</t>
        </is>
      </c>
      <c r="B143" s="93" t="n"/>
      <c r="C143" s="114" t="n">
        <v>878974.04</v>
      </c>
      <c r="D143" s="113" t="inlineStr">
        <is>
          <t>IDR/sheet</t>
        </is>
      </c>
      <c r="E143" s="113" t="inlineStr">
        <is>
          <t>rate card DB (price list 2026)</t>
        </is>
      </c>
      <c r="F143" s="95" t="n"/>
      <c r="G143" s="95" t="n"/>
      <c r="H143" s="95" t="n"/>
      <c r="I143" s="95" t="n"/>
    </row>
    <row r="144">
      <c r="A144" s="113" t="inlineStr">
        <is>
          <t>PLY-3-OSF</t>
        </is>
      </c>
      <c r="B144" s="93" t="n"/>
      <c r="C144" s="114" t="n">
        <v>478237.02</v>
      </c>
      <c r="D144" s="113" t="inlineStr">
        <is>
          <t>IDR/sheet</t>
        </is>
      </c>
      <c r="E144" s="113" t="inlineStr">
        <is>
          <t>rate card DB (price list 2026)</t>
        </is>
      </c>
      <c r="F144" s="95" t="n"/>
      <c r="G144" s="95" t="n"/>
      <c r="H144" s="95" t="n"/>
      <c r="I144" s="95" t="n"/>
    </row>
    <row r="145">
      <c r="A145" s="113" t="inlineStr">
        <is>
          <t>PLY-3-SDF</t>
        </is>
      </c>
      <c r="B145" s="93" t="n"/>
      <c r="C145" s="114" t="n">
        <v>551526.04</v>
      </c>
      <c r="D145" s="113" t="inlineStr">
        <is>
          <t>IDR/sheet</t>
        </is>
      </c>
      <c r="E145" s="113" t="inlineStr">
        <is>
          <t>rate card DB (price list 2026)</t>
        </is>
      </c>
      <c r="F145" s="95" t="n"/>
      <c r="G145" s="95" t="n"/>
      <c r="H145" s="95" t="n"/>
      <c r="I145" s="95" t="n"/>
    </row>
    <row r="146">
      <c r="A146" s="113" t="inlineStr">
        <is>
          <t>PLY-3-SSF</t>
        </is>
      </c>
      <c r="B146" s="93" t="n"/>
      <c r="C146" s="114" t="n">
        <v>314513.02</v>
      </c>
      <c r="D146" s="113" t="inlineStr">
        <is>
          <t>IDR/sheet</t>
        </is>
      </c>
      <c r="E146" s="113" t="inlineStr">
        <is>
          <t>rate card DB (price list 2026)</t>
        </is>
      </c>
      <c r="F146" s="95" t="n"/>
      <c r="G146" s="95" t="n"/>
      <c r="H146" s="95" t="n"/>
      <c r="I146" s="95" t="n"/>
    </row>
    <row r="147">
      <c r="A147" s="113" t="inlineStr">
        <is>
          <t>PLY-3-WDF</t>
        </is>
      </c>
      <c r="B147" s="93" t="n"/>
      <c r="C147" s="114" t="n">
        <v>968278.04</v>
      </c>
      <c r="D147" s="113" t="inlineStr">
        <is>
          <t>IDR/sheet</t>
        </is>
      </c>
      <c r="E147" s="113" t="inlineStr">
        <is>
          <t>rate card DB (price list 2026)</t>
        </is>
      </c>
      <c r="F147" s="95" t="n"/>
      <c r="G147" s="95" t="n"/>
      <c r="H147" s="95" t="n"/>
      <c r="I147" s="95" t="n"/>
    </row>
    <row r="148">
      <c r="A148" s="113" t="inlineStr">
        <is>
          <t>PLY-3-WSF</t>
        </is>
      </c>
      <c r="B148" s="93" t="n"/>
      <c r="C148" s="114" t="n">
        <v>522889.02</v>
      </c>
      <c r="D148" s="113" t="inlineStr">
        <is>
          <t>IDR/sheet</t>
        </is>
      </c>
      <c r="E148" s="113" t="inlineStr">
        <is>
          <t>rate card DB (price list 2026)</t>
        </is>
      </c>
      <c r="F148" s="95" t="n"/>
      <c r="G148" s="95" t="n"/>
      <c r="H148" s="95" t="n"/>
      <c r="I148" s="95" t="n"/>
    </row>
    <row r="149">
      <c r="A149" s="113" t="inlineStr">
        <is>
          <t>PLY-6-CDF</t>
        </is>
      </c>
      <c r="B149" s="93" t="n"/>
      <c r="C149" s="114" t="n">
        <v>618794.04</v>
      </c>
      <c r="D149" s="113" t="inlineStr">
        <is>
          <t>IDR/sheet</t>
        </is>
      </c>
      <c r="E149" s="113" t="inlineStr">
        <is>
          <t>rate card DB (price list 2026)</t>
        </is>
      </c>
      <c r="F149" s="95" t="n"/>
      <c r="G149" s="95" t="n"/>
      <c r="H149" s="95" t="n"/>
      <c r="I149" s="95" t="n"/>
    </row>
    <row r="150">
      <c r="A150" s="113" t="inlineStr">
        <is>
          <t>PLY-6-CSF</t>
        </is>
      </c>
      <c r="B150" s="93" t="n"/>
      <c r="C150" s="114" t="n">
        <v>366897.02</v>
      </c>
      <c r="D150" s="113" t="inlineStr">
        <is>
          <t>IDR/sheet</t>
        </is>
      </c>
      <c r="E150" s="113" t="inlineStr">
        <is>
          <t>rate card DB (price list 2026)</t>
        </is>
      </c>
      <c r="F150" s="95" t="n"/>
      <c r="G150" s="95" t="n"/>
      <c r="H150" s="95" t="n"/>
      <c r="I150" s="95" t="n"/>
    </row>
    <row r="151">
      <c r="A151" s="113" t="inlineStr">
        <is>
          <t>PLY-6-HDF</t>
        </is>
      </c>
      <c r="B151" s="93" t="n"/>
      <c r="C151" s="114" t="n">
        <v>410418.04</v>
      </c>
      <c r="D151" s="113" t="inlineStr">
        <is>
          <t>IDR/sheet</t>
        </is>
      </c>
      <c r="E151" s="113" t="inlineStr">
        <is>
          <t>rate card DB (price list 2026)</t>
        </is>
      </c>
      <c r="F151" s="95" t="n"/>
      <c r="G151" s="95" t="n"/>
      <c r="H151" s="95" t="n"/>
      <c r="I151" s="95" t="n"/>
    </row>
    <row r="152">
      <c r="A152" s="113" t="inlineStr">
        <is>
          <t>PLY-6-HSF</t>
        </is>
      </c>
      <c r="B152" s="93" t="n"/>
      <c r="C152" s="114" t="n">
        <v>262709.02</v>
      </c>
      <c r="D152" s="113" t="inlineStr">
        <is>
          <t>IDR/sheet</t>
        </is>
      </c>
      <c r="E152" s="113" t="inlineStr">
        <is>
          <t>rate card DB (price list 2026)</t>
        </is>
      </c>
      <c r="F152" s="95" t="n"/>
      <c r="G152" s="95" t="n"/>
      <c r="H152" s="95" t="n"/>
      <c r="I152" s="95" t="n"/>
    </row>
    <row r="153">
      <c r="A153" s="113" t="inlineStr">
        <is>
          <t>PLY-6-ODF</t>
        </is>
      </c>
      <c r="B153" s="93" t="n"/>
      <c r="C153" s="114" t="n">
        <v>916474.04</v>
      </c>
      <c r="D153" s="113" t="inlineStr">
        <is>
          <t>IDR/sheet</t>
        </is>
      </c>
      <c r="E153" s="113" t="inlineStr">
        <is>
          <t>rate card DB (price list 2026)</t>
        </is>
      </c>
      <c r="F153" s="95" t="n"/>
      <c r="G153" s="95" t="n"/>
      <c r="H153" s="95" t="n"/>
      <c r="I153" s="95" t="n"/>
    </row>
    <row r="154">
      <c r="A154" s="113" t="inlineStr">
        <is>
          <t>PLY-6-OSF</t>
        </is>
      </c>
      <c r="B154" s="93" t="n"/>
      <c r="C154" s="114" t="n">
        <v>515737.02</v>
      </c>
      <c r="D154" s="113" t="inlineStr">
        <is>
          <t>IDR/sheet</t>
        </is>
      </c>
      <c r="E154" s="113" t="inlineStr">
        <is>
          <t>rate card DB (price list 2026)</t>
        </is>
      </c>
      <c r="F154" s="95" t="n"/>
      <c r="G154" s="95" t="n"/>
      <c r="H154" s="95" t="n"/>
      <c r="I154" s="95" t="n"/>
    </row>
    <row r="155">
      <c r="A155" s="113" t="inlineStr">
        <is>
          <t>PLY-6-SDF</t>
        </is>
      </c>
      <c r="B155" s="93" t="n"/>
      <c r="C155" s="114" t="n">
        <v>589026.04</v>
      </c>
      <c r="D155" s="113" t="inlineStr">
        <is>
          <t>IDR/sheet</t>
        </is>
      </c>
      <c r="E155" s="113" t="inlineStr">
        <is>
          <t>rate card DB (price list 2026)</t>
        </is>
      </c>
      <c r="F155" s="95" t="n"/>
      <c r="G155" s="95" t="n"/>
      <c r="H155" s="95" t="n"/>
      <c r="I155" s="95" t="n"/>
    </row>
    <row r="156">
      <c r="A156" s="113" t="inlineStr">
        <is>
          <t>PLY-6-SSF</t>
        </is>
      </c>
      <c r="B156" s="93" t="n"/>
      <c r="C156" s="114" t="n">
        <v>352013.02</v>
      </c>
      <c r="D156" s="113" t="inlineStr">
        <is>
          <t>IDR/sheet</t>
        </is>
      </c>
      <c r="E156" s="113" t="inlineStr">
        <is>
          <t>rate card DB (price list 2026)</t>
        </is>
      </c>
      <c r="F156" s="95" t="n"/>
      <c r="G156" s="95" t="n"/>
      <c r="H156" s="95" t="n"/>
      <c r="I156" s="95" t="n"/>
    </row>
    <row r="157">
      <c r="A157" s="113" t="inlineStr">
        <is>
          <t>PLY-6-WDF</t>
        </is>
      </c>
      <c r="B157" s="93" t="n"/>
      <c r="C157" s="114" t="n">
        <v>1005778.04</v>
      </c>
      <c r="D157" s="113" t="inlineStr">
        <is>
          <t>IDR/sheet</t>
        </is>
      </c>
      <c r="E157" s="113" t="inlineStr">
        <is>
          <t>rate card DB (price list 2026)</t>
        </is>
      </c>
      <c r="F157" s="95" t="n"/>
      <c r="G157" s="95" t="n"/>
      <c r="H157" s="95" t="n"/>
      <c r="I157" s="95" t="n"/>
    </row>
    <row r="158">
      <c r="A158" s="113" t="inlineStr">
        <is>
          <t>PLY-6-WSF</t>
        </is>
      </c>
      <c r="B158" s="93" t="n"/>
      <c r="C158" s="114" t="n">
        <v>560389.02</v>
      </c>
      <c r="D158" s="113" t="inlineStr">
        <is>
          <t>IDR/sheet</t>
        </is>
      </c>
      <c r="E158" s="113" t="inlineStr">
        <is>
          <t>rate card DB (price list 2026)</t>
        </is>
      </c>
      <c r="F158" s="95" t="n"/>
      <c r="G158" s="95" t="n"/>
      <c r="H158" s="95" t="n"/>
      <c r="I158" s="95" t="n"/>
    </row>
    <row r="159">
      <c r="A159" s="113" t="inlineStr">
        <is>
          <t>PLY-9-CDF</t>
        </is>
      </c>
      <c r="B159" s="93" t="n"/>
      <c r="C159" s="114" t="n">
        <v>676294.04</v>
      </c>
      <c r="D159" s="113" t="inlineStr">
        <is>
          <t>IDR/sheet</t>
        </is>
      </c>
      <c r="E159" s="113" t="inlineStr">
        <is>
          <t>rate card DB (price list 2026)</t>
        </is>
      </c>
      <c r="F159" s="95" t="n"/>
      <c r="G159" s="95" t="n"/>
      <c r="H159" s="95" t="n"/>
      <c r="I159" s="95" t="n"/>
    </row>
    <row r="160">
      <c r="A160" s="113" t="inlineStr">
        <is>
          <t>PLY-9-CSF</t>
        </is>
      </c>
      <c r="B160" s="93" t="n"/>
      <c r="C160" s="114" t="n">
        <v>424397.02</v>
      </c>
      <c r="D160" s="113" t="inlineStr">
        <is>
          <t>IDR/sheet</t>
        </is>
      </c>
      <c r="E160" s="113" t="inlineStr">
        <is>
          <t>rate card DB (price list 2026)</t>
        </is>
      </c>
      <c r="F160" s="95" t="n"/>
      <c r="G160" s="95" t="n"/>
      <c r="H160" s="95" t="n"/>
      <c r="I160" s="95" t="n"/>
    </row>
    <row r="161">
      <c r="A161" s="113" t="inlineStr">
        <is>
          <t>PLY-9-HDF</t>
        </is>
      </c>
      <c r="B161" s="93" t="n"/>
      <c r="C161" s="114" t="n">
        <v>467918.04</v>
      </c>
      <c r="D161" s="113" t="inlineStr">
        <is>
          <t>IDR/sheet</t>
        </is>
      </c>
      <c r="E161" s="113" t="inlineStr">
        <is>
          <t>rate card DB (price list 2026)</t>
        </is>
      </c>
      <c r="F161" s="95" t="n"/>
      <c r="G161" s="95" t="n"/>
      <c r="H161" s="95" t="n"/>
      <c r="I161" s="95" t="n"/>
    </row>
    <row r="162">
      <c r="A162" s="113" t="inlineStr">
        <is>
          <t>PLY-9-HSF</t>
        </is>
      </c>
      <c r="B162" s="93" t="n"/>
      <c r="C162" s="114" t="n">
        <v>320209.02</v>
      </c>
      <c r="D162" s="113" t="inlineStr">
        <is>
          <t>IDR/sheet</t>
        </is>
      </c>
      <c r="E162" s="113" t="inlineStr">
        <is>
          <t>rate card DB (price list 2026)</t>
        </is>
      </c>
      <c r="F162" s="95" t="n"/>
      <c r="G162" s="95" t="n"/>
      <c r="H162" s="95" t="n"/>
      <c r="I162" s="95" t="n"/>
    </row>
    <row r="163">
      <c r="A163" s="113" t="inlineStr">
        <is>
          <t>PLY-9-ODF</t>
        </is>
      </c>
      <c r="B163" s="93" t="n"/>
      <c r="C163" s="114" t="n">
        <v>973974.04</v>
      </c>
      <c r="D163" s="113" t="inlineStr">
        <is>
          <t>IDR/sheet</t>
        </is>
      </c>
      <c r="E163" s="113" t="inlineStr">
        <is>
          <t>rate card DB (price list 2026)</t>
        </is>
      </c>
      <c r="F163" s="95" t="n"/>
      <c r="G163" s="95" t="n"/>
      <c r="H163" s="95" t="n"/>
      <c r="I163" s="95" t="n"/>
    </row>
    <row r="164">
      <c r="A164" s="113" t="inlineStr">
        <is>
          <t>PLY-9-OSF</t>
        </is>
      </c>
      <c r="B164" s="93" t="n"/>
      <c r="C164" s="114" t="n">
        <v>573237.02</v>
      </c>
      <c r="D164" s="113" t="inlineStr">
        <is>
          <t>IDR/sheet</t>
        </is>
      </c>
      <c r="E164" s="113" t="inlineStr">
        <is>
          <t>rate card DB (price list 2026)</t>
        </is>
      </c>
      <c r="F164" s="95" t="n"/>
      <c r="G164" s="95" t="n"/>
      <c r="H164" s="95" t="n"/>
      <c r="I164" s="95" t="n"/>
    </row>
    <row r="165">
      <c r="A165" s="113" t="inlineStr">
        <is>
          <t>PLY-9-SDF</t>
        </is>
      </c>
      <c r="B165" s="93" t="n"/>
      <c r="C165" s="114" t="n">
        <v>646526.04</v>
      </c>
      <c r="D165" s="113" t="inlineStr">
        <is>
          <t>IDR/sheet</t>
        </is>
      </c>
      <c r="E165" s="113" t="inlineStr">
        <is>
          <t>rate card DB (price list 2026)</t>
        </is>
      </c>
      <c r="F165" s="95" t="n"/>
      <c r="G165" s="95" t="n"/>
      <c r="H165" s="95" t="n"/>
      <c r="I165" s="95" t="n"/>
    </row>
    <row r="166">
      <c r="A166" s="113" t="inlineStr">
        <is>
          <t>PLY-9-SSF</t>
        </is>
      </c>
      <c r="B166" s="93" t="n"/>
      <c r="C166" s="114" t="n">
        <v>409513.02</v>
      </c>
      <c r="D166" s="113" t="inlineStr">
        <is>
          <t>IDR/sheet</t>
        </is>
      </c>
      <c r="E166" s="113" t="inlineStr">
        <is>
          <t>rate card DB (price list 2026)</t>
        </is>
      </c>
      <c r="F166" s="95" t="n"/>
      <c r="G166" s="95" t="n"/>
      <c r="H166" s="95" t="n"/>
      <c r="I166" s="95" t="n"/>
    </row>
    <row r="167">
      <c r="A167" s="113" t="inlineStr">
        <is>
          <t>PLY-9-WDF</t>
        </is>
      </c>
      <c r="B167" s="93" t="n"/>
      <c r="C167" s="114" t="n">
        <v>1063278.04</v>
      </c>
      <c r="D167" s="113" t="inlineStr">
        <is>
          <t>IDR/sheet</t>
        </is>
      </c>
      <c r="E167" s="113" t="inlineStr">
        <is>
          <t>rate card DB (price list 2026)</t>
        </is>
      </c>
      <c r="F167" s="95" t="n"/>
      <c r="G167" s="95" t="n"/>
      <c r="H167" s="95" t="n"/>
      <c r="I167" s="95" t="n"/>
    </row>
    <row r="168">
      <c r="A168" s="113" t="inlineStr">
        <is>
          <t>PLY-9-WSF</t>
        </is>
      </c>
      <c r="B168" s="93" t="n"/>
      <c r="C168" s="114" t="n">
        <v>617889.02</v>
      </c>
      <c r="D168" s="113" t="inlineStr">
        <is>
          <t>IDR/sheet</t>
        </is>
      </c>
      <c r="E168" s="113" t="inlineStr">
        <is>
          <t>rate card DB (price list 2026)</t>
        </is>
      </c>
      <c r="F168" s="95" t="n"/>
      <c r="G168" s="95" t="n"/>
      <c r="H168" s="95" t="n"/>
      <c r="I168" s="95" t="n"/>
    </row>
    <row r="169">
      <c r="A169" s="113" t="inlineStr">
        <is>
          <t>FX_TARGET</t>
        </is>
      </c>
      <c r="B169" s="117" t="inlineStr">
        <is>
          <t>USD rate for the summary USD lines, ITEMS USD columns and target price</t>
        </is>
      </c>
      <c r="C169" s="114" t="n">
        <v>17800</v>
      </c>
      <c r="D169" s="113" t="inlineStr">
        <is>
          <t>IDR/USD</t>
        </is>
      </c>
      <c r="E169" s="113" t="inlineStr">
        <is>
          <t>Rizky 23 Okt 2026. Hardware/board quotes still use FX_USD (row 172)</t>
        </is>
      </c>
      <c r="F169" s="95" t="n"/>
      <c r="G169" s="95" t="n"/>
    </row>
    <row r="170">
      <c r="A170" s="97" t="inlineStr">
        <is>
          <t>LANDED BOARD PRICES: Linyi Consmos Imp.&amp;Exp. Co., Ltd., quotation 14 Oct 2026. CIF Semarang plus port, clearance and trucking to Kudus. Value = CIF USD × FX_USD + LAND_40HC ÷ sheets/box.</t>
        </is>
      </c>
      <c r="B170" s="98" t="n"/>
      <c r="C170" s="98" t="n"/>
      <c r="D170" s="98" t="n"/>
      <c r="E170" s="98" t="n"/>
      <c r="F170" s="98" t="n"/>
      <c r="G170" s="98" t="n"/>
      <c r="H170" s="98" t="n"/>
      <c r="I170" s="98" t="n"/>
    </row>
    <row r="171" ht="32" customHeight="1" s="59">
      <c r="A171" s="99" t="inlineStr">
        <is>
          <t>code</t>
        </is>
      </c>
      <c r="B171" s="99" t="inlineStr">
        <is>
          <t>Description</t>
        </is>
      </c>
      <c r="C171" s="100" t="inlineStr">
        <is>
          <t>Value</t>
        </is>
      </c>
      <c r="D171" s="101" t="inlineStr">
        <is>
          <t>Unit</t>
        </is>
      </c>
      <c r="E171" s="99" t="inlineStr">
        <is>
          <t>Source</t>
        </is>
      </c>
      <c r="F171" s="115" t="inlineStr">
        <is>
          <t>Quote USD / sheet (landed Kudus)</t>
        </is>
      </c>
      <c r="G171" s="116" t="inlineStr">
        <is>
          <t>Quote IDR / sheet (USD × FX_USD)</t>
        </is>
      </c>
      <c r="H171" s="99" t="inlineStr">
        <is>
          <t>CIF USD / sheet</t>
        </is>
      </c>
      <c r="I171" s="99" t="inlineStr">
        <is>
          <t>Sheets / 40' HC</t>
        </is>
      </c>
    </row>
    <row r="172">
      <c r="A172" s="113" t="inlineStr">
        <is>
          <t>FX_USD</t>
        </is>
      </c>
      <c r="B172" s="117" t="inlineStr">
        <is>
          <t>Exchange rate</t>
        </is>
      </c>
      <c r="C172" s="114" t="n">
        <v>18040</v>
      </c>
      <c r="D172" s="113" t="inlineStr">
        <is>
          <t>IDR/USD</t>
        </is>
      </c>
      <c r="E172" s="113" t="inlineStr">
        <is>
          <t>RFQ file, Landing Assumptions. Change to the booked rate.</t>
        </is>
      </c>
      <c r="F172" s="95" t="n"/>
      <c r="G172" s="95" t="n"/>
      <c r="H172" s="95" t="n"/>
      <c r="I172" s="95" t="n"/>
    </row>
    <row r="173">
      <c r="A173" s="113" t="inlineStr">
        <is>
          <t>LAND_40HC</t>
        </is>
      </c>
      <c r="B173" s="117" t="inlineStr">
        <is>
          <t>Landing cost per 40' HC: line local charges, THC, lift-off, PPJK (BC 2.3), documents, trucking Tg. Emas to Kudus, 20% red-lane allowance</t>
        </is>
      </c>
      <c r="C173" s="114" t="n">
        <v>13350000</v>
      </c>
      <c r="D173" s="113" t="inlineStr">
        <is>
          <t>IDR/box</t>
        </is>
      </c>
      <c r="E173" s="113" t="inlineStr">
        <is>
          <t>RFQ file, Landing Assumptions</t>
        </is>
      </c>
      <c r="F173" s="95" t="n"/>
      <c r="G173" s="95" t="n"/>
      <c r="H173" s="95" t="n"/>
      <c r="I173" s="95" t="n"/>
    </row>
    <row r="174">
      <c r="A174" s="113" t="inlineStr">
        <is>
          <t>PANEL_GRADE</t>
        </is>
      </c>
      <c r="B174" s="117" t="inlineStr">
        <is>
          <t>Board grade for ALL plywood and MDF (LOCKED E0, meeting rule 19 Oct 2026). Replaces E2.</t>
        </is>
      </c>
      <c r="C174" s="118" t="inlineStr">
        <is>
          <t>E0</t>
        </is>
      </c>
      <c r="D174" s="113" t="inlineStr">
        <is>
          <t>text</t>
        </is>
      </c>
      <c r="E174" s="113" t="inlineStr">
        <is>
          <t>Rule: plywood and MDF always E0, landed Kudus. E2 / CARB rows are reference only.</t>
        </is>
      </c>
      <c r="F174" s="95" t="n"/>
      <c r="G174" s="95" t="n"/>
      <c r="H174" s="95" t="n"/>
      <c r="I174" s="95" t="n"/>
    </row>
    <row r="175">
      <c r="A175" s="113" t="inlineStr">
        <is>
          <t>VEN_M_ADD</t>
        </is>
      </c>
      <c r="B175" s="117" t="inlineStr">
        <is>
          <t>Mindi veneer added per face inside the PLY-x-MSF / MDF rates</t>
        </is>
      </c>
      <c r="C175" s="114">
        <f>C275</f>
        <v/>
      </c>
      <c r="D175" s="113" t="inlineStr">
        <is>
          <t>IDR/face</t>
        </is>
      </c>
      <c r="E175" s="113" t="inlineStr">
        <is>
          <t>Now a formula: 0.6 mm face from the VENEER block below (was fixed 147,709).</t>
        </is>
      </c>
      <c r="F175" s="95" t="n"/>
      <c r="G175" s="95" t="n"/>
      <c r="H175" s="95" t="n"/>
      <c r="I175" s="95" t="n"/>
    </row>
    <row r="176">
      <c r="A176" s="113" t="inlineStr">
        <is>
          <t>VEN_T_ADD</t>
        </is>
      </c>
      <c r="B176" s="117" t="inlineStr">
        <is>
          <t>Teak veneer added per face inside the PLY-x-TSF / TDF rates</t>
        </is>
      </c>
      <c r="C176" s="114" t="n">
        <v>341201.02</v>
      </c>
      <c r="D176" s="113" t="inlineStr">
        <is>
          <t>IDR/face</t>
        </is>
      </c>
      <c r="E176" s="113" t="inlineStr">
        <is>
          <t>Back-calculated from the 29 Sep rate card (PLY-x-TSF minus PLY-x-RAW). Not the same as VEN_TEAK_FACE.</t>
        </is>
      </c>
      <c r="F176" s="95" t="n"/>
      <c r="G176" s="95" t="n"/>
      <c r="H176" s="95" t="n"/>
      <c r="I176" s="95" t="n"/>
    </row>
    <row r="178">
      <c r="A178" s="119" t="inlineStr">
        <is>
          <t>LND-PLY-E2-3</t>
        </is>
      </c>
      <c r="B178" s="120" t="inlineStr">
        <is>
          <t>Furniture plywood 3 mm, E2, poplar core, okoume face, landed Kudus</t>
        </is>
      </c>
      <c r="C178" s="121">
        <f>G178</f>
        <v/>
      </c>
      <c r="D178" s="119" t="inlineStr">
        <is>
          <t>IDR/sheet</t>
        </is>
      </c>
      <c r="E178" s="119" t="inlineStr">
        <is>
          <t>RFQ_MDF_Plywood_Landed_Kudus_Tala_Living.xlsx, Landed Rates sheet (Linyi Ocean quote 16 Oct 2026)</t>
        </is>
      </c>
      <c r="F178" s="122">
        <f>H178+$C$173/$C$172/I178</f>
        <v/>
      </c>
      <c r="G178" s="122">
        <f>F178*$C$172</f>
        <v/>
      </c>
      <c r="H178" s="122" t="n">
        <v>5.248</v>
      </c>
      <c r="I178" s="123" t="n">
        <v>5823</v>
      </c>
    </row>
    <row r="179">
      <c r="A179" s="119" t="inlineStr">
        <is>
          <t>LND-PLY-E2-6</t>
        </is>
      </c>
      <c r="B179" s="120" t="inlineStr">
        <is>
          <t>Furniture plywood 6 mm, E2, poplar core, okoume face, landed Kudus</t>
        </is>
      </c>
      <c r="C179" s="121">
        <f>G179</f>
        <v/>
      </c>
      <c r="D179" s="119" t="inlineStr">
        <is>
          <t>IDR/sheet</t>
        </is>
      </c>
      <c r="E179" s="119" t="inlineStr">
        <is>
          <t>RFQ_MDF_Plywood_Landed_Kudus_Tala_Living.xlsx, Landed Rates sheet (Linyi Ocean quote 16 Oct 2026)</t>
        </is>
      </c>
      <c r="F179" s="122">
        <f>H179+$C$173/$C$172/I179</f>
        <v/>
      </c>
      <c r="G179" s="122">
        <f>F179*$C$172</f>
        <v/>
      </c>
      <c r="H179" s="122" t="n">
        <v>7.779</v>
      </c>
      <c r="I179" s="123" t="n">
        <v>2911</v>
      </c>
    </row>
    <row r="180">
      <c r="A180" s="119" t="inlineStr">
        <is>
          <t>LND-PLY-E2-9</t>
        </is>
      </c>
      <c r="B180" s="120" t="inlineStr">
        <is>
          <t>Furniture plywood 9 mm, E2, poplar core, okoume face, landed Kudus</t>
        </is>
      </c>
      <c r="C180" s="121">
        <f>G180</f>
        <v/>
      </c>
      <c r="D180" s="119" t="inlineStr">
        <is>
          <t>IDR/sheet</t>
        </is>
      </c>
      <c r="E180" s="119" t="inlineStr">
        <is>
          <t>RFQ_MDF_Plywood_Landed_Kudus_Tala_Living.xlsx, Landed Rates sheet (Linyi Ocean quote 16 Oct 2026)</t>
        </is>
      </c>
      <c r="F180" s="122">
        <f>H180+$C$173/$C$172/I180</f>
        <v/>
      </c>
      <c r="G180" s="122">
        <f>F180*$C$172</f>
        <v/>
      </c>
      <c r="H180" s="122" t="n">
        <v>11.017</v>
      </c>
      <c r="I180" s="123" t="n">
        <v>1941</v>
      </c>
    </row>
    <row r="181">
      <c r="A181" s="119" t="inlineStr">
        <is>
          <t>LND-PLY-E2-12</t>
        </is>
      </c>
      <c r="B181" s="120" t="inlineStr">
        <is>
          <t>Furniture plywood 12 mm, E2, poplar core, okoume face, landed Kudus</t>
        </is>
      </c>
      <c r="C181" s="121">
        <f>G181</f>
        <v/>
      </c>
      <c r="D181" s="119" t="inlineStr">
        <is>
          <t>IDR/sheet</t>
        </is>
      </c>
      <c r="E181" s="119" t="inlineStr">
        <is>
          <t>RFQ_MDF_Plywood_Landed_Kudus_Tala_Living.xlsx, Landed Rates sheet (Linyi Ocean quote 16 Oct 2026)</t>
        </is>
      </c>
      <c r="F181" s="122">
        <f>H181+$C$173/$C$172/I181</f>
        <v/>
      </c>
      <c r="G181" s="122">
        <f>F181*$C$172</f>
        <v/>
      </c>
      <c r="H181" s="122" t="n">
        <v>14.144</v>
      </c>
      <c r="I181" s="123" t="n">
        <v>1456</v>
      </c>
    </row>
    <row r="182">
      <c r="A182" s="119" t="inlineStr">
        <is>
          <t>LND-PLY-E2-15</t>
        </is>
      </c>
      <c r="B182" s="120" t="inlineStr">
        <is>
          <t>Furniture plywood 15 mm, E2, poplar core, okoume face, landed Kudus</t>
        </is>
      </c>
      <c r="C182" s="121">
        <f>G182</f>
        <v/>
      </c>
      <c r="D182" s="119" t="inlineStr">
        <is>
          <t>IDR/sheet</t>
        </is>
      </c>
      <c r="E182" s="119" t="inlineStr">
        <is>
          <t>RFQ_MDF_Plywood_Landed_Kudus_Tala_Living.xlsx, Landed Rates sheet (Linyi Ocean quote 16 Oct 2026)</t>
        </is>
      </c>
      <c r="F182" s="122">
        <f>H182+$C$173/$C$172/I182</f>
        <v/>
      </c>
      <c r="G182" s="122">
        <f>F182*$C$172</f>
        <v/>
      </c>
      <c r="H182" s="122" t="n">
        <v>17.655</v>
      </c>
      <c r="I182" s="123" t="n">
        <v>1165</v>
      </c>
    </row>
    <row r="183">
      <c r="A183" s="119" t="inlineStr">
        <is>
          <t>LND-PLY-E2-18</t>
        </is>
      </c>
      <c r="B183" s="120" t="inlineStr">
        <is>
          <t>Furniture plywood 18 mm, E2, poplar core, okoume face, landed Kudus</t>
        </is>
      </c>
      <c r="C183" s="121">
        <f>G183</f>
        <v/>
      </c>
      <c r="D183" s="119" t="inlineStr">
        <is>
          <t>IDR/sheet</t>
        </is>
      </c>
      <c r="E183" s="119" t="inlineStr">
        <is>
          <t>RFQ_MDF_Plywood_Landed_Kudus_Tala_Living.xlsx, Landed Rates sheet (Linyi Ocean quote 16 Oct 2026)</t>
        </is>
      </c>
      <c r="F183" s="122">
        <f>H183+$C$173/$C$172/I183</f>
        <v/>
      </c>
      <c r="G183" s="122">
        <f>F183*$C$172</f>
        <v/>
      </c>
      <c r="H183" s="122" t="n">
        <v>20.469</v>
      </c>
      <c r="I183" s="123" t="n">
        <v>970</v>
      </c>
    </row>
    <row r="184">
      <c r="A184" s="113" t="inlineStr">
        <is>
          <t>LND-PLY-E0-3</t>
        </is>
      </c>
      <c r="B184" s="117" t="inlineStr">
        <is>
          <t>Furniture plywood 3 mm, E0, poplar core, okoume face, landed Kudus</t>
        </is>
      </c>
      <c r="C184" s="114">
        <f>G184</f>
        <v/>
      </c>
      <c r="D184" s="113" t="inlineStr">
        <is>
          <t>IDR/sheet</t>
        </is>
      </c>
      <c r="E184" s="113" t="inlineStr">
        <is>
          <t>RFQ_MDF_Plywood_Landed_Kudus_Tala_Living.xlsx, Landed Rates sheet (Linyi Ocean quote 16 Oct 2026)</t>
        </is>
      </c>
      <c r="F184" s="112">
        <f>H184+$C$173/$C$172/I184</f>
        <v/>
      </c>
      <c r="G184" s="112">
        <f>F184*$C$172</f>
        <v/>
      </c>
      <c r="H184" s="112" t="n">
        <v>5.45</v>
      </c>
      <c r="I184" s="124" t="n">
        <v>5760</v>
      </c>
    </row>
    <row r="185">
      <c r="A185" s="113" t="inlineStr">
        <is>
          <t>LND-PLY-E0-6</t>
        </is>
      </c>
      <c r="B185" s="117" t="inlineStr">
        <is>
          <t>Furniture plywood 6 mm, E0, poplar core, okoume face, landed Kudus</t>
        </is>
      </c>
      <c r="C185" s="114">
        <f>G185</f>
        <v/>
      </c>
      <c r="D185" s="113" t="inlineStr">
        <is>
          <t>IDR/sheet</t>
        </is>
      </c>
      <c r="E185" s="113" t="inlineStr">
        <is>
          <t>RFQ_MDF_Plywood_Landed_Kudus_Tala_Living.xlsx, Landed Rates sheet (Linyi Ocean quote 16 Oct 2026)</t>
        </is>
      </c>
      <c r="F185" s="112">
        <f>H185+$C$173/$C$172/I185</f>
        <v/>
      </c>
      <c r="G185" s="112">
        <f>F185*$C$172</f>
        <v/>
      </c>
      <c r="H185" s="112" t="n">
        <v>8.449999999999999</v>
      </c>
      <c r="I185" s="124" t="n">
        <v>2880</v>
      </c>
    </row>
    <row r="186">
      <c r="A186" s="113" t="inlineStr">
        <is>
          <t>LND-PLY-E0-9</t>
        </is>
      </c>
      <c r="B186" s="117" t="inlineStr">
        <is>
          <t>Furniture plywood 9 mm, E0, poplar core, okoume face, landed Kudus</t>
        </is>
      </c>
      <c r="C186" s="114">
        <f>G186</f>
        <v/>
      </c>
      <c r="D186" s="113" t="inlineStr">
        <is>
          <t>IDR/sheet</t>
        </is>
      </c>
      <c r="E186" s="113" t="inlineStr">
        <is>
          <t>RFQ_MDF_Plywood_Landed_Kudus_Tala_Living.xlsx, Landed Rates sheet (Linyi Ocean quote 16 Oct 2026)</t>
        </is>
      </c>
      <c r="F186" s="112">
        <f>H186+$C$173/$C$172/I186</f>
        <v/>
      </c>
      <c r="G186" s="112">
        <f>F186*$C$172</f>
        <v/>
      </c>
      <c r="H186" s="112" t="n">
        <v>12.4</v>
      </c>
      <c r="I186" s="124" t="n">
        <v>1890</v>
      </c>
    </row>
    <row r="187">
      <c r="A187" s="113" t="inlineStr">
        <is>
          <t>LND-PLY-E0-12</t>
        </is>
      </c>
      <c r="B187" s="117" t="inlineStr">
        <is>
          <t>Furniture plywood 12 mm, E0, poplar core, okoume face, landed Kudus</t>
        </is>
      </c>
      <c r="C187" s="114">
        <f>G187</f>
        <v/>
      </c>
      <c r="D187" s="113" t="inlineStr">
        <is>
          <t>IDR/sheet</t>
        </is>
      </c>
      <c r="E187" s="113" t="inlineStr">
        <is>
          <t>RFQ_MDF_Plywood_Landed_Kudus_Tala_Living.xlsx, Landed Rates sheet (Linyi Ocean quote 16 Oct 2026)</t>
        </is>
      </c>
      <c r="F187" s="112">
        <f>H187+$C$173/$C$172/I187</f>
        <v/>
      </c>
      <c r="G187" s="112">
        <f>F187*$C$172</f>
        <v/>
      </c>
      <c r="H187" s="112" t="n">
        <v>15.4</v>
      </c>
      <c r="I187" s="124" t="n">
        <v>1440</v>
      </c>
    </row>
    <row r="188">
      <c r="A188" s="113" t="inlineStr">
        <is>
          <t>LND-PLY-E0-15</t>
        </is>
      </c>
      <c r="B188" s="117" t="inlineStr">
        <is>
          <t>Furniture plywood 15 mm, E0, poplar core, okoume face, landed Kudus</t>
        </is>
      </c>
      <c r="C188" s="114">
        <f>G188</f>
        <v/>
      </c>
      <c r="D188" s="113" t="inlineStr">
        <is>
          <t>IDR/sheet</t>
        </is>
      </c>
      <c r="E188" s="113" t="inlineStr">
        <is>
          <t>RFQ_MDF_Plywood_Landed_Kudus_Tala_Living.xlsx, Landed Rates sheet (Linyi Ocean quote 16 Oct 2026)</t>
        </is>
      </c>
      <c r="F188" s="112">
        <f>H188+$C$173/$C$172/I188</f>
        <v/>
      </c>
      <c r="G188" s="112">
        <f>F188*$C$172</f>
        <v/>
      </c>
      <c r="H188" s="112" t="n">
        <v>18.7</v>
      </c>
      <c r="I188" s="124" t="n">
        <v>1170</v>
      </c>
    </row>
    <row r="189">
      <c r="A189" s="113" t="inlineStr">
        <is>
          <t>LND-PLY-E0-18</t>
        </is>
      </c>
      <c r="B189" s="117" t="inlineStr">
        <is>
          <t>Furniture plywood 18 mm, E0, poplar core, okoume face, landed Kudus</t>
        </is>
      </c>
      <c r="C189" s="114">
        <f>G189</f>
        <v/>
      </c>
      <c r="D189" s="113" t="inlineStr">
        <is>
          <t>IDR/sheet</t>
        </is>
      </c>
      <c r="E189" s="113" t="inlineStr">
        <is>
          <t>RFQ_MDF_Plywood_Landed_Kudus_Tala_Living.xlsx, Landed Rates sheet (Linyi Ocean quote 16 Oct 2026)</t>
        </is>
      </c>
      <c r="F189" s="112">
        <f>H189+$C$173/$C$172/I189</f>
        <v/>
      </c>
      <c r="G189" s="112">
        <f>F189*$C$172</f>
        <v/>
      </c>
      <c r="H189" s="112" t="n">
        <v>21.4</v>
      </c>
      <c r="I189" s="124" t="n">
        <v>990</v>
      </c>
    </row>
    <row r="190">
      <c r="A190" s="113" t="inlineStr">
        <is>
          <t>LND-PLY-CARB-3</t>
        </is>
      </c>
      <c r="B190" s="117" t="inlineStr">
        <is>
          <t>Furniture plywood 3 mm, CARB Phase 2 / TSCA Title VI, poplar core, okoume face, landed Kudus</t>
        </is>
      </c>
      <c r="C190" s="114">
        <f>G190</f>
        <v/>
      </c>
      <c r="D190" s="113" t="inlineStr">
        <is>
          <t>IDR/sheet</t>
        </is>
      </c>
      <c r="E190" s="113" t="inlineStr">
        <is>
          <t>RFQ_MDF_Plywood_Landed_Kudus_Tala_Living.xlsx, Landed Rates sheet (Linyi Ocean quote 16 Oct 2026)</t>
        </is>
      </c>
      <c r="F190" s="112">
        <f>H190+$C$173/$C$172/I190</f>
        <v/>
      </c>
      <c r="G190" s="112">
        <f>F190*$C$172</f>
        <v/>
      </c>
      <c r="H190" s="112" t="n">
        <v>5.5</v>
      </c>
      <c r="I190" s="124" t="n">
        <v>5760</v>
      </c>
    </row>
    <row r="191">
      <c r="A191" s="113" t="inlineStr">
        <is>
          <t>LND-PLY-CARB-6</t>
        </is>
      </c>
      <c r="B191" s="117" t="inlineStr">
        <is>
          <t>Furniture plywood 6 mm, CARB Phase 2 / TSCA Title VI, poplar core, okoume face, landed Kudus</t>
        </is>
      </c>
      <c r="C191" s="114">
        <f>G191</f>
        <v/>
      </c>
      <c r="D191" s="113" t="inlineStr">
        <is>
          <t>IDR/sheet</t>
        </is>
      </c>
      <c r="E191" s="113" t="inlineStr">
        <is>
          <t>RFQ_MDF_Plywood_Landed_Kudus_Tala_Living.xlsx, Landed Rates sheet (Linyi Ocean quote 16 Oct 2026)</t>
        </is>
      </c>
      <c r="F191" s="112">
        <f>H191+$C$173/$C$172/I191</f>
        <v/>
      </c>
      <c r="G191" s="112">
        <f>F191*$C$172</f>
        <v/>
      </c>
      <c r="H191" s="112" t="n">
        <v>8.5</v>
      </c>
      <c r="I191" s="124" t="n">
        <v>2880</v>
      </c>
    </row>
    <row r="192">
      <c r="A192" s="113" t="inlineStr">
        <is>
          <t>LND-PLY-CARB-9</t>
        </is>
      </c>
      <c r="B192" s="117" t="inlineStr">
        <is>
          <t>Furniture plywood 9 mm, CARB Phase 2 / TSCA Title VI, poplar core, okoume face, landed Kudus</t>
        </is>
      </c>
      <c r="C192" s="114">
        <f>G192</f>
        <v/>
      </c>
      <c r="D192" s="113" t="inlineStr">
        <is>
          <t>IDR/sheet</t>
        </is>
      </c>
      <c r="E192" s="113" t="inlineStr">
        <is>
          <t>RFQ_MDF_Plywood_Landed_Kudus_Tala_Living.xlsx, Landed Rates sheet (Linyi Ocean quote 16 Oct 2026)</t>
        </is>
      </c>
      <c r="F192" s="112">
        <f>H192+$C$173/$C$172/I192</f>
        <v/>
      </c>
      <c r="G192" s="112">
        <f>F192*$C$172</f>
        <v/>
      </c>
      <c r="H192" s="112" t="n">
        <v>12.4</v>
      </c>
      <c r="I192" s="124" t="n">
        <v>1890</v>
      </c>
    </row>
    <row r="193">
      <c r="A193" s="113" t="inlineStr">
        <is>
          <t>LND-PLY-CARB-12</t>
        </is>
      </c>
      <c r="B193" s="117" t="inlineStr">
        <is>
          <t>Furniture plywood 12 mm, CARB Phase 2 / TSCA Title VI, poplar core, okoume face, landed Kudus</t>
        </is>
      </c>
      <c r="C193" s="114">
        <f>G193</f>
        <v/>
      </c>
      <c r="D193" s="113" t="inlineStr">
        <is>
          <t>IDR/sheet</t>
        </is>
      </c>
      <c r="E193" s="113" t="inlineStr">
        <is>
          <t>RFQ_MDF_Plywood_Landed_Kudus_Tala_Living.xlsx, Landed Rates sheet (Linyi Ocean quote 16 Oct 2026)</t>
        </is>
      </c>
      <c r="F193" s="112">
        <f>H193+$C$173/$C$172/I193</f>
        <v/>
      </c>
      <c r="G193" s="112">
        <f>F193*$C$172</f>
        <v/>
      </c>
      <c r="H193" s="112" t="n">
        <v>15.5</v>
      </c>
      <c r="I193" s="124" t="n">
        <v>1440</v>
      </c>
    </row>
    <row r="194">
      <c r="A194" s="113" t="inlineStr">
        <is>
          <t>LND-PLY-CARB-15</t>
        </is>
      </c>
      <c r="B194" s="117" t="inlineStr">
        <is>
          <t>Furniture plywood 15 mm, CARB Phase 2 / TSCA Title VI, poplar core, okoume face, landed Kudus</t>
        </is>
      </c>
      <c r="C194" s="114">
        <f>G194</f>
        <v/>
      </c>
      <c r="D194" s="113" t="inlineStr">
        <is>
          <t>IDR/sheet</t>
        </is>
      </c>
      <c r="E194" s="113" t="inlineStr">
        <is>
          <t>RFQ_MDF_Plywood_Landed_Kudus_Tala_Living.xlsx, Landed Rates sheet (Linyi Ocean quote 16 Oct 2026)</t>
        </is>
      </c>
      <c r="F194" s="112">
        <f>H194+$C$173/$C$172/I194</f>
        <v/>
      </c>
      <c r="G194" s="112">
        <f>F194*$C$172</f>
        <v/>
      </c>
      <c r="H194" s="112" t="n">
        <v>18.8</v>
      </c>
      <c r="I194" s="124" t="n">
        <v>1170</v>
      </c>
    </row>
    <row r="195">
      <c r="A195" s="113" t="inlineStr">
        <is>
          <t>LND-PLY-CARB-18</t>
        </is>
      </c>
      <c r="B195" s="117" t="inlineStr">
        <is>
          <t>Furniture plywood 18 mm, CARB Phase 2 / TSCA Title VI, poplar core, okoume face, landed Kudus</t>
        </is>
      </c>
      <c r="C195" s="114">
        <f>G195</f>
        <v/>
      </c>
      <c r="D195" s="113" t="inlineStr">
        <is>
          <t>IDR/sheet</t>
        </is>
      </c>
      <c r="E195" s="113" t="inlineStr">
        <is>
          <t>RFQ_MDF_Plywood_Landed_Kudus_Tala_Living.xlsx, Landed Rates sheet (Linyi Ocean quote 16 Oct 2026)</t>
        </is>
      </c>
      <c r="F195" s="112">
        <f>H195+$C$173/$C$172/I195</f>
        <v/>
      </c>
      <c r="G195" s="112">
        <f>F195*$C$172</f>
        <v/>
      </c>
      <c r="H195" s="112" t="n">
        <v>21.5</v>
      </c>
      <c r="I195" s="124" t="n">
        <v>990</v>
      </c>
    </row>
    <row r="196">
      <c r="A196" s="119" t="inlineStr">
        <is>
          <t>LND-MDF-E2-3</t>
        </is>
      </c>
      <c r="B196" s="120" t="inlineStr">
        <is>
          <t>MDF 3 mm, E2, landed Kudus</t>
        </is>
      </c>
      <c r="C196" s="121">
        <f>G196</f>
        <v/>
      </c>
      <c r="D196" s="119" t="inlineStr">
        <is>
          <t>IDR/sheet</t>
        </is>
      </c>
      <c r="E196" s="119" t="inlineStr">
        <is>
          <t>RFQ_MDF_Plywood_Landed_Kudus_Tala_Living.xlsx, Landed Rates sheet (Linyi Ocean quote 16 Oct 2026)</t>
        </is>
      </c>
      <c r="F196" s="122">
        <f>H196+$C$173/$C$172/I196</f>
        <v/>
      </c>
      <c r="G196" s="122">
        <f>F196*$C$172</f>
        <v/>
      </c>
      <c r="H196" s="122" t="n">
        <v>2.715</v>
      </c>
      <c r="I196" s="123" t="n">
        <v>4143</v>
      </c>
    </row>
    <row r="197">
      <c r="A197" s="119" t="inlineStr">
        <is>
          <t>LND-MDF-E2-6</t>
        </is>
      </c>
      <c r="B197" s="120" t="inlineStr">
        <is>
          <t>MDF 6 mm, E2, landed Kudus</t>
        </is>
      </c>
      <c r="C197" s="121">
        <f>G197</f>
        <v/>
      </c>
      <c r="D197" s="119" t="inlineStr">
        <is>
          <t>IDR/sheet</t>
        </is>
      </c>
      <c r="E197" s="119" t="inlineStr">
        <is>
          <t>RFQ_MDF_Plywood_Landed_Kudus_Tala_Living.xlsx, Landed Rates sheet (Linyi Ocean quote 16 Oct 2026)</t>
        </is>
      </c>
      <c r="F197" s="122">
        <f>H197+$C$173/$C$172/I197</f>
        <v/>
      </c>
      <c r="G197" s="122">
        <f>F197*$C$172</f>
        <v/>
      </c>
      <c r="H197" s="122" t="n">
        <v>4.873</v>
      </c>
      <c r="I197" s="123" t="n">
        <v>2072</v>
      </c>
    </row>
    <row r="198">
      <c r="A198" s="119" t="inlineStr">
        <is>
          <t>LND-MDF-E2-9</t>
        </is>
      </c>
      <c r="B198" s="120" t="inlineStr">
        <is>
          <t>MDF 9 mm, E2, landed Kudus</t>
        </is>
      </c>
      <c r="C198" s="121">
        <f>G198</f>
        <v/>
      </c>
      <c r="D198" s="119" t="inlineStr">
        <is>
          <t>IDR/sheet</t>
        </is>
      </c>
      <c r="E198" s="119" t="inlineStr">
        <is>
          <t>RFQ_MDF_Plywood_Landed_Kudus_Tala_Living.xlsx, Landed Rates sheet (Linyi Ocean quote 16 Oct 2026)</t>
        </is>
      </c>
      <c r="F198" s="122">
        <f>H198+$C$173/$C$172/I198</f>
        <v/>
      </c>
      <c r="G198" s="122">
        <f>F198*$C$172</f>
        <v/>
      </c>
      <c r="H198" s="122" t="n">
        <v>7.553</v>
      </c>
      <c r="I198" s="123" t="n">
        <v>1493</v>
      </c>
    </row>
    <row r="199">
      <c r="A199" s="119" t="inlineStr">
        <is>
          <t>LND-MDF-E2-12</t>
        </is>
      </c>
      <c r="B199" s="120" t="inlineStr">
        <is>
          <t>MDF 12 mm, E2, landed Kudus</t>
        </is>
      </c>
      <c r="C199" s="121">
        <f>G199</f>
        <v/>
      </c>
      <c r="D199" s="119" t="inlineStr">
        <is>
          <t>IDR/sheet</t>
        </is>
      </c>
      <c r="E199" s="119" t="inlineStr">
        <is>
          <t>RFQ_MDF_Plywood_Landed_Kudus_Tala_Living.xlsx, Landed Rates sheet (Linyi Ocean quote 16 Oct 2026)</t>
        </is>
      </c>
      <c r="F199" s="122">
        <f>H199+$C$173/$C$172/I199</f>
        <v/>
      </c>
      <c r="G199" s="122">
        <f>F199*$C$172</f>
        <v/>
      </c>
      <c r="H199" s="122" t="n">
        <v>9.882999999999999</v>
      </c>
      <c r="I199" s="123" t="n">
        <v>1120</v>
      </c>
    </row>
    <row r="200">
      <c r="A200" s="119" t="inlineStr">
        <is>
          <t>LND-MDF-E2-15</t>
        </is>
      </c>
      <c r="B200" s="120" t="inlineStr">
        <is>
          <t>MDF 15 mm, E2, landed Kudus</t>
        </is>
      </c>
      <c r="C200" s="121">
        <f>G200</f>
        <v/>
      </c>
      <c r="D200" s="119" t="inlineStr">
        <is>
          <t>IDR/sheet</t>
        </is>
      </c>
      <c r="E200" s="119" t="inlineStr">
        <is>
          <t>RFQ_MDF_Plywood_Landed_Kudus_Tala_Living.xlsx, Landed Rates sheet (Linyi Ocean quote 16 Oct 2026)</t>
        </is>
      </c>
      <c r="F200" s="122">
        <f>H200+$C$173/$C$172/I200</f>
        <v/>
      </c>
      <c r="G200" s="122">
        <f>F200*$C$172</f>
        <v/>
      </c>
      <c r="H200" s="122" t="n">
        <v>12.435</v>
      </c>
      <c r="I200" s="123" t="n">
        <v>896</v>
      </c>
    </row>
    <row r="201">
      <c r="A201" s="119" t="inlineStr">
        <is>
          <t>LND-MDF-E2-18</t>
        </is>
      </c>
      <c r="B201" s="120" t="inlineStr">
        <is>
          <t>MDF 18 mm, E2, landed Kudus</t>
        </is>
      </c>
      <c r="C201" s="121">
        <f>G201</f>
        <v/>
      </c>
      <c r="D201" s="119" t="inlineStr">
        <is>
          <t>IDR/sheet</t>
        </is>
      </c>
      <c r="E201" s="119" t="inlineStr">
        <is>
          <t>RFQ_MDF_Plywood_Landed_Kudus_Tala_Living.xlsx, Landed Rates sheet (Linyi Ocean quote 16 Oct 2026)</t>
        </is>
      </c>
      <c r="F201" s="122">
        <f>H201+$C$173/$C$172/I201</f>
        <v/>
      </c>
      <c r="G201" s="122">
        <f>F201*$C$172</f>
        <v/>
      </c>
      <c r="H201" s="122" t="n">
        <v>15.039</v>
      </c>
      <c r="I201" s="123" t="n">
        <v>746</v>
      </c>
    </row>
    <row r="202">
      <c r="A202" s="113" t="inlineStr">
        <is>
          <t>LND-MDF-E0-3</t>
        </is>
      </c>
      <c r="B202" s="117" t="inlineStr">
        <is>
          <t>MDF 3 mm, E0, landed Kudus</t>
        </is>
      </c>
      <c r="C202" s="114">
        <f>G202</f>
        <v/>
      </c>
      <c r="D202" s="113" t="inlineStr">
        <is>
          <t>IDR/sheet</t>
        </is>
      </c>
      <c r="E202" s="113" t="inlineStr">
        <is>
          <t>RFQ_MDF_Plywood_Landed_Kudus_Tala_Living.xlsx, Landed Rates sheet (Linyi Ocean quote 16 Oct 2026)</t>
        </is>
      </c>
      <c r="F202" s="112">
        <f>H202+$C$173/$C$172/I202</f>
        <v/>
      </c>
      <c r="G202" s="112">
        <f>F202*$C$172</f>
        <v/>
      </c>
      <c r="H202" s="112" t="n">
        <v>2.8</v>
      </c>
      <c r="I202" s="124" t="n">
        <v>4060</v>
      </c>
    </row>
    <row r="203">
      <c r="A203" s="113" t="inlineStr">
        <is>
          <t>LND-MDF-E0-6</t>
        </is>
      </c>
      <c r="B203" s="117" t="inlineStr">
        <is>
          <t>MDF 6 mm, E0, landed Kudus</t>
        </is>
      </c>
      <c r="C203" s="114">
        <f>G203</f>
        <v/>
      </c>
      <c r="D203" s="113" t="inlineStr">
        <is>
          <t>IDR/sheet</t>
        </is>
      </c>
      <c r="E203" s="113" t="inlineStr">
        <is>
          <t>RFQ_MDF_Plywood_Landed_Kudus_Tala_Living.xlsx, Landed Rates sheet (Linyi Ocean quote 16 Oct 2026)</t>
        </is>
      </c>
      <c r="F203" s="112">
        <f>H203+$C$173/$C$172/I203</f>
        <v/>
      </c>
      <c r="G203" s="112">
        <f>F203*$C$172</f>
        <v/>
      </c>
      <c r="H203" s="112" t="n">
        <v>5.2</v>
      </c>
      <c r="I203" s="124" t="n">
        <v>2250</v>
      </c>
    </row>
    <row r="204">
      <c r="A204" s="113" t="inlineStr">
        <is>
          <t>LND-MDF-E0-9</t>
        </is>
      </c>
      <c r="B204" s="117" t="inlineStr">
        <is>
          <t>MDF 9 mm, E0, landed Kudus</t>
        </is>
      </c>
      <c r="C204" s="114">
        <f>G204</f>
        <v/>
      </c>
      <c r="D204" s="113" t="inlineStr">
        <is>
          <t>IDR/sheet</t>
        </is>
      </c>
      <c r="E204" s="113" t="inlineStr">
        <is>
          <t>RFQ_MDF_Plywood_Landed_Kudus_Tala_Living.xlsx, Landed Rates sheet (Linyi Ocean quote 16 Oct 2026)</t>
        </is>
      </c>
      <c r="F204" s="112">
        <f>H204+$C$173/$C$172/I204</f>
        <v/>
      </c>
      <c r="G204" s="112">
        <f>F204*$C$172</f>
        <v/>
      </c>
      <c r="H204" s="112" t="n">
        <v>8.15</v>
      </c>
      <c r="I204" s="124" t="n">
        <v>1500</v>
      </c>
    </row>
    <row r="205">
      <c r="A205" s="113" t="inlineStr">
        <is>
          <t>LND-MDF-E0-12</t>
        </is>
      </c>
      <c r="B205" s="117" t="inlineStr">
        <is>
          <t>MDF 12 mm, E0, landed Kudus</t>
        </is>
      </c>
      <c r="C205" s="114">
        <f>G205</f>
        <v/>
      </c>
      <c r="D205" s="113" t="inlineStr">
        <is>
          <t>IDR/sheet</t>
        </is>
      </c>
      <c r="E205" s="113" t="inlineStr">
        <is>
          <t>RFQ_MDF_Plywood_Landed_Kudus_Tala_Living.xlsx, Landed Rates sheet (Linyi Ocean quote 16 Oct 2026)</t>
        </is>
      </c>
      <c r="F205" s="112">
        <f>H205+$C$173/$C$172/I205</f>
        <v/>
      </c>
      <c r="G205" s="112">
        <f>F205*$C$172</f>
        <v/>
      </c>
      <c r="H205" s="112" t="n">
        <v>10.7</v>
      </c>
      <c r="I205" s="124" t="n">
        <v>1125</v>
      </c>
    </row>
    <row r="206">
      <c r="A206" s="113" t="inlineStr">
        <is>
          <t>LND-MDF-E0-15</t>
        </is>
      </c>
      <c r="B206" s="117" t="inlineStr">
        <is>
          <t>MDF 15 mm, E0, landed Kudus</t>
        </is>
      </c>
      <c r="C206" s="114">
        <f>G206</f>
        <v/>
      </c>
      <c r="D206" s="113" t="inlineStr">
        <is>
          <t>IDR/sheet</t>
        </is>
      </c>
      <c r="E206" s="113" t="inlineStr">
        <is>
          <t>RFQ_MDF_Plywood_Landed_Kudus_Tala_Living.xlsx, Landed Rates sheet (Linyi Ocean quote 16 Oct 2026)</t>
        </is>
      </c>
      <c r="F206" s="112">
        <f>H206+$C$173/$C$172/I206</f>
        <v/>
      </c>
      <c r="G206" s="112">
        <f>F206*$C$172</f>
        <v/>
      </c>
      <c r="H206" s="112" t="n">
        <v>13.4</v>
      </c>
      <c r="I206" s="124" t="n">
        <v>900</v>
      </c>
    </row>
    <row r="207">
      <c r="A207" s="113" t="inlineStr">
        <is>
          <t>LND-MDF-E0-18</t>
        </is>
      </c>
      <c r="B207" s="117" t="inlineStr">
        <is>
          <t>MDF 18 mm, E0, landed Kudus</t>
        </is>
      </c>
      <c r="C207" s="114">
        <f>G207</f>
        <v/>
      </c>
      <c r="D207" s="113" t="inlineStr">
        <is>
          <t>IDR/sheet</t>
        </is>
      </c>
      <c r="E207" s="113" t="inlineStr">
        <is>
          <t>RFQ_MDF_Plywood_Landed_Kudus_Tala_Living.xlsx, Landed Rates sheet (Linyi Ocean quote 16 Oct 2026)</t>
        </is>
      </c>
      <c r="F207" s="112">
        <f>H207+$C$173/$C$172/I207</f>
        <v/>
      </c>
      <c r="G207" s="112">
        <f>F207*$C$172</f>
        <v/>
      </c>
      <c r="H207" s="112" t="n">
        <v>16</v>
      </c>
      <c r="I207" s="124" t="n">
        <v>750</v>
      </c>
    </row>
    <row r="208">
      <c r="A208" s="113" t="inlineStr">
        <is>
          <t>LND-MDF-CARB-3</t>
        </is>
      </c>
      <c r="B208" s="117" t="inlineStr">
        <is>
          <t>MDF 3 mm, CARB Phase 2 / TSCA Title VI, landed Kudus</t>
        </is>
      </c>
      <c r="C208" s="114">
        <f>G208</f>
        <v/>
      </c>
      <c r="D208" s="113" t="inlineStr">
        <is>
          <t>IDR/sheet</t>
        </is>
      </c>
      <c r="E208" s="113" t="inlineStr">
        <is>
          <t>RFQ_MDF_Plywood_Landed_Kudus_Tala_Living.xlsx, Landed Rates sheet (Linyi Ocean quote 16 Oct 2026)</t>
        </is>
      </c>
      <c r="F208" s="112">
        <f>H208+$C$173/$C$172/I208</f>
        <v/>
      </c>
      <c r="G208" s="112">
        <f>F208*$C$172</f>
        <v/>
      </c>
      <c r="H208" s="112" t="n">
        <v>2.8</v>
      </c>
      <c r="I208" s="124" t="n">
        <v>4060</v>
      </c>
    </row>
    <row r="209">
      <c r="A209" s="113" t="inlineStr">
        <is>
          <t>LND-MDF-CARB-6</t>
        </is>
      </c>
      <c r="B209" s="117" t="inlineStr">
        <is>
          <t>MDF 6 mm, CARB Phase 2 / TSCA Title VI, landed Kudus</t>
        </is>
      </c>
      <c r="C209" s="114">
        <f>G209</f>
        <v/>
      </c>
      <c r="D209" s="113" t="inlineStr">
        <is>
          <t>IDR/sheet</t>
        </is>
      </c>
      <c r="E209" s="113" t="inlineStr">
        <is>
          <t>RFQ_MDF_Plywood_Landed_Kudus_Tala_Living.xlsx, Landed Rates sheet (Linyi Ocean quote 16 Oct 2026)</t>
        </is>
      </c>
      <c r="F209" s="112">
        <f>H209+$C$173/$C$172/I209</f>
        <v/>
      </c>
      <c r="G209" s="112">
        <f>F209*$C$172</f>
        <v/>
      </c>
      <c r="H209" s="112" t="n">
        <v>5.35</v>
      </c>
      <c r="I209" s="124" t="n">
        <v>2030</v>
      </c>
    </row>
    <row r="210">
      <c r="A210" s="113" t="inlineStr">
        <is>
          <t>LND-MDF-CARB-9</t>
        </is>
      </c>
      <c r="B210" s="117" t="inlineStr">
        <is>
          <t>MDF 9 mm, CARB Phase 2 / TSCA Title VI, landed Kudus</t>
        </is>
      </c>
      <c r="C210" s="114">
        <f>G210</f>
        <v/>
      </c>
      <c r="D210" s="113" t="inlineStr">
        <is>
          <t>IDR/sheet</t>
        </is>
      </c>
      <c r="E210" s="113" t="inlineStr">
        <is>
          <t>RFQ_MDF_Plywood_Landed_Kudus_Tala_Living.xlsx, Landed Rates sheet (Linyi Ocean quote 16 Oct 2026)</t>
        </is>
      </c>
      <c r="F210" s="112">
        <f>H210+$C$173/$C$172/I210</f>
        <v/>
      </c>
      <c r="G210" s="112">
        <f>F210*$C$172</f>
        <v/>
      </c>
      <c r="H210" s="112" t="n">
        <v>7.5</v>
      </c>
      <c r="I210" s="124" t="n">
        <v>1425</v>
      </c>
    </row>
    <row r="211">
      <c r="A211" s="113" t="inlineStr">
        <is>
          <t>LND-MDF-CARB-12</t>
        </is>
      </c>
      <c r="B211" s="117" t="inlineStr">
        <is>
          <t>MDF 12 mm, CARB Phase 2 / TSCA Title VI, landed Kudus</t>
        </is>
      </c>
      <c r="C211" s="114">
        <f>G211</f>
        <v/>
      </c>
      <c r="D211" s="113" t="inlineStr">
        <is>
          <t>IDR/sheet</t>
        </is>
      </c>
      <c r="E211" s="113" t="inlineStr">
        <is>
          <t>RFQ_MDF_Plywood_Landed_Kudus_Tala_Living.xlsx, Landed Rates sheet (Linyi Ocean quote 16 Oct 2026)</t>
        </is>
      </c>
      <c r="F211" s="112">
        <f>H211+$C$173/$C$172/I211</f>
        <v/>
      </c>
      <c r="G211" s="112">
        <f>F211*$C$172</f>
        <v/>
      </c>
      <c r="H211" s="112" t="n">
        <v>8.699999999999999</v>
      </c>
      <c r="I211" s="124" t="n">
        <v>1200</v>
      </c>
    </row>
    <row r="212">
      <c r="A212" s="113" t="inlineStr">
        <is>
          <t>LND-MDF-CARB-15</t>
        </is>
      </c>
      <c r="B212" s="117" t="inlineStr">
        <is>
          <t>MDF 15 mm, CARB Phase 2 / TSCA Title VI, landed Kudus</t>
        </is>
      </c>
      <c r="C212" s="114">
        <f>G212</f>
        <v/>
      </c>
      <c r="D212" s="113" t="inlineStr">
        <is>
          <t>IDR/sheet</t>
        </is>
      </c>
      <c r="E212" s="113" t="inlineStr">
        <is>
          <t>RFQ_MDF_Plywood_Landed_Kudus_Tala_Living.xlsx, Landed Rates sheet (Linyi Ocean quote 16 Oct 2026)</t>
        </is>
      </c>
      <c r="F212" s="112">
        <f>H212+$C$173/$C$172/I212</f>
        <v/>
      </c>
      <c r="G212" s="112">
        <f>F212*$C$172</f>
        <v/>
      </c>
      <c r="H212" s="112" t="n">
        <v>11.05</v>
      </c>
      <c r="I212" s="124" t="n">
        <v>960</v>
      </c>
    </row>
    <row r="213">
      <c r="A213" s="113" t="inlineStr">
        <is>
          <t>LND-MDF-CARB-18</t>
        </is>
      </c>
      <c r="B213" s="117" t="inlineStr">
        <is>
          <t>MDF 18 mm, CARB Phase 2 / TSCA Title VI, landed Kudus</t>
        </is>
      </c>
      <c r="C213" s="114">
        <f>G213</f>
        <v/>
      </c>
      <c r="D213" s="113" t="inlineStr">
        <is>
          <t>IDR/sheet</t>
        </is>
      </c>
      <c r="E213" s="113" t="inlineStr">
        <is>
          <t>RFQ_MDF_Plywood_Landed_Kudus_Tala_Living.xlsx, Landed Rates sheet (Linyi Ocean quote 16 Oct 2026)</t>
        </is>
      </c>
      <c r="F213" s="112">
        <f>H213+$C$173/$C$172/I213</f>
        <v/>
      </c>
      <c r="G213" s="112">
        <f>F213*$C$172</f>
        <v/>
      </c>
      <c r="H213" s="112" t="n">
        <v>13.2</v>
      </c>
      <c r="I213" s="124" t="n">
        <v>800</v>
      </c>
    </row>
    <row r="214">
      <c r="A214" s="113" t="inlineStr">
        <is>
          <t>LND-MAR-15</t>
        </is>
      </c>
      <c r="B214" s="117" t="inlineStr">
        <is>
          <t>Marine plywood 15 mm, BS 1088 type, WBP glue, landed Kudus</t>
        </is>
      </c>
      <c r="C214" s="114">
        <f>G214</f>
        <v/>
      </c>
      <c r="D214" s="113" t="inlineStr">
        <is>
          <t>IDR/sheet</t>
        </is>
      </c>
      <c r="E214" s="113" t="inlineStr">
        <is>
          <t>RFQ_MDF_Plywood_Landed_Kudus_Tala_Living.xlsx, Landed Rates sheet (Linyi Ocean quote 16 Oct 2026)</t>
        </is>
      </c>
      <c r="F214" s="112">
        <f>H214+$C$173/$C$172/I214</f>
        <v/>
      </c>
      <c r="G214" s="112">
        <f>F214*$C$172</f>
        <v/>
      </c>
      <c r="H214" s="112" t="n">
        <v>20.324</v>
      </c>
      <c r="I214" s="124" t="n">
        <v>1120</v>
      </c>
    </row>
    <row r="215">
      <c r="A215" s="113" t="inlineStr">
        <is>
          <t>LND-MAR-18</t>
        </is>
      </c>
      <c r="B215" s="117" t="inlineStr">
        <is>
          <t>Marine plywood 18 mm, BS 1088 type, WBP glue, landed Kudus</t>
        </is>
      </c>
      <c r="C215" s="114">
        <f>G215</f>
        <v/>
      </c>
      <c r="D215" s="113" t="inlineStr">
        <is>
          <t>IDR/sheet</t>
        </is>
      </c>
      <c r="E215" s="113" t="inlineStr">
        <is>
          <t>RFQ_MDF_Plywood_Landed_Kudus_Tala_Living.xlsx, Landed Rates sheet (Linyi Ocean quote 16 Oct 2026)</t>
        </is>
      </c>
      <c r="F215" s="112">
        <f>H215+$C$173/$C$172/I215</f>
        <v/>
      </c>
      <c r="G215" s="112">
        <f>F215*$C$172</f>
        <v/>
      </c>
      <c r="H215" s="112" t="n">
        <v>24.043</v>
      </c>
      <c r="I215" s="124" t="n">
        <v>933</v>
      </c>
    </row>
    <row r="217">
      <c r="A217" s="97" t="inlineStr">
        <is>
          <t>BOARD RATES ADDED 16 OCT 2026 (use as PANEL TYPE on item tabs)</t>
        </is>
      </c>
      <c r="B217" s="98" t="n"/>
      <c r="C217" s="98" t="n"/>
      <c r="D217" s="98" t="n"/>
      <c r="E217" s="98" t="n"/>
      <c r="F217" s="98" t="n"/>
      <c r="G217" s="98" t="n"/>
      <c r="H217" s="98" t="n"/>
      <c r="I217" s="98" t="n"/>
    </row>
    <row r="218">
      <c r="A218" s="113" t="inlineStr">
        <is>
          <t>MDF-3-RAW</t>
        </is>
      </c>
      <c r="B218" s="117" t="inlineStr">
        <is>
          <t>MDF 3 mm, raw, grade per PANEL_GRADE</t>
        </is>
      </c>
      <c r="C218" s="114">
        <f t="array" ref="C218">INDEX($C$178:$C$215,MATCH("LND-MDF-"&amp;$C$174&amp;"-3",$A$178:$A$215,0))</f>
        <v/>
      </c>
      <c r="D218" s="113" t="inlineStr">
        <is>
          <t>IDR/sheet</t>
        </is>
      </c>
      <c r="E218" s="113" t="inlineStr">
        <is>
          <t>Landed rows above</t>
        </is>
      </c>
      <c r="F218" s="112">
        <f t="array" ref="F218">INDEX($F$178:$F$215,MATCH("LND-MDF-"&amp;$C$174&amp;"-3",$A$178:$A$215,0))</f>
        <v/>
      </c>
      <c r="G218" s="112">
        <f>F218*$C$172</f>
        <v/>
      </c>
      <c r="H218" s="95" t="n"/>
      <c r="I218" s="95" t="n"/>
    </row>
    <row r="219">
      <c r="A219" s="113" t="inlineStr">
        <is>
          <t>MDF-6-RAW</t>
        </is>
      </c>
      <c r="B219" s="117" t="inlineStr">
        <is>
          <t>MDF 6 mm, raw, grade per PANEL_GRADE</t>
        </is>
      </c>
      <c r="C219" s="114">
        <f t="array" ref="C219">INDEX($C$178:$C$215,MATCH("LND-MDF-"&amp;$C$174&amp;"-6",$A$178:$A$215,0))</f>
        <v/>
      </c>
      <c r="D219" s="113" t="inlineStr">
        <is>
          <t>IDR/sheet</t>
        </is>
      </c>
      <c r="E219" s="113" t="inlineStr">
        <is>
          <t>Landed rows above</t>
        </is>
      </c>
      <c r="F219" s="112">
        <f t="array" ref="F219">INDEX($F$178:$F$215,MATCH("LND-MDF-"&amp;$C$174&amp;"-6",$A$178:$A$215,0))</f>
        <v/>
      </c>
      <c r="G219" s="112">
        <f>F219*$C$172</f>
        <v/>
      </c>
      <c r="H219" s="95" t="n"/>
      <c r="I219" s="95" t="n"/>
    </row>
    <row r="220">
      <c r="A220" s="113" t="inlineStr">
        <is>
          <t>MDF-9-RAW</t>
        </is>
      </c>
      <c r="B220" s="117" t="inlineStr">
        <is>
          <t>MDF 9 mm, raw, grade per PANEL_GRADE</t>
        </is>
      </c>
      <c r="C220" s="114">
        <f t="array" ref="C220">INDEX($C$178:$C$215,MATCH("LND-MDF-"&amp;$C$174&amp;"-9",$A$178:$A$215,0))</f>
        <v/>
      </c>
      <c r="D220" s="113" t="inlineStr">
        <is>
          <t>IDR/sheet</t>
        </is>
      </c>
      <c r="E220" s="113" t="inlineStr">
        <is>
          <t>Landed rows above</t>
        </is>
      </c>
      <c r="F220" s="112">
        <f t="array" ref="F220">INDEX($F$178:$F$215,MATCH("LND-MDF-"&amp;$C$174&amp;"-9",$A$178:$A$215,0))</f>
        <v/>
      </c>
      <c r="G220" s="112">
        <f>F220*$C$172</f>
        <v/>
      </c>
      <c r="H220" s="95" t="n"/>
      <c r="I220" s="95" t="n"/>
    </row>
    <row r="221">
      <c r="A221" s="113" t="inlineStr">
        <is>
          <t>MDF-12-RAW</t>
        </is>
      </c>
      <c r="B221" s="117" t="inlineStr">
        <is>
          <t>MDF 12 mm, raw, grade per PANEL_GRADE</t>
        </is>
      </c>
      <c r="C221" s="114">
        <f t="array" ref="C221">INDEX($C$178:$C$215,MATCH("LND-MDF-"&amp;$C$174&amp;"-12",$A$178:$A$215,0))</f>
        <v/>
      </c>
      <c r="D221" s="113" t="inlineStr">
        <is>
          <t>IDR/sheet</t>
        </is>
      </c>
      <c r="E221" s="113" t="inlineStr">
        <is>
          <t>Landed rows above</t>
        </is>
      </c>
      <c r="F221" s="112">
        <f t="array" ref="F221">INDEX($F$178:$F$215,MATCH("LND-MDF-"&amp;$C$174&amp;"-12",$A$178:$A$215,0))</f>
        <v/>
      </c>
      <c r="G221" s="112">
        <f>F221*$C$172</f>
        <v/>
      </c>
      <c r="H221" s="95" t="n"/>
      <c r="I221" s="95" t="n"/>
    </row>
    <row r="222">
      <c r="A222" s="113" t="inlineStr">
        <is>
          <t>MDF-15-RAW</t>
        </is>
      </c>
      <c r="B222" s="117" t="inlineStr">
        <is>
          <t>MDF 15 mm, raw, grade per PANEL_GRADE</t>
        </is>
      </c>
      <c r="C222" s="114">
        <f t="array" ref="C222">INDEX($C$178:$C$215,MATCH("LND-MDF-"&amp;$C$174&amp;"-15",$A$178:$A$215,0))</f>
        <v/>
      </c>
      <c r="D222" s="113" t="inlineStr">
        <is>
          <t>IDR/sheet</t>
        </is>
      </c>
      <c r="E222" s="113" t="inlineStr">
        <is>
          <t>Landed rows above</t>
        </is>
      </c>
      <c r="F222" s="112">
        <f t="array" ref="F222">INDEX($F$178:$F$215,MATCH("LND-MDF-"&amp;$C$174&amp;"-15",$A$178:$A$215,0))</f>
        <v/>
      </c>
      <c r="G222" s="112">
        <f>F222*$C$172</f>
        <v/>
      </c>
      <c r="H222" s="95" t="n"/>
      <c r="I222" s="95" t="n"/>
    </row>
    <row r="223">
      <c r="A223" s="113" t="inlineStr">
        <is>
          <t>MDF-18-RAW</t>
        </is>
      </c>
      <c r="B223" s="117" t="inlineStr">
        <is>
          <t>MDF 18 mm, raw, grade per PANEL_GRADE</t>
        </is>
      </c>
      <c r="C223" s="114">
        <f t="array" ref="C223">INDEX($C$178:$C$215,MATCH("LND-MDF-"&amp;$C$174&amp;"-18",$A$178:$A$215,0))</f>
        <v/>
      </c>
      <c r="D223" s="113" t="inlineStr">
        <is>
          <t>IDR/sheet</t>
        </is>
      </c>
      <c r="E223" s="113" t="inlineStr">
        <is>
          <t>Landed rows above</t>
        </is>
      </c>
      <c r="F223" s="112">
        <f t="array" ref="F223">INDEX($F$178:$F$215,MATCH("LND-MDF-"&amp;$C$174&amp;"-18",$A$178:$A$215,0))</f>
        <v/>
      </c>
      <c r="G223" s="112">
        <f>F223*$C$172</f>
        <v/>
      </c>
      <c r="H223" s="95" t="n"/>
      <c r="I223" s="95" t="n"/>
    </row>
    <row r="224">
      <c r="A224" s="113" t="inlineStr">
        <is>
          <t>PLY-15-MAR</t>
        </is>
      </c>
      <c r="B224" s="117" t="inlineStr">
        <is>
          <t>Marine plywood 15 mm, raw</t>
        </is>
      </c>
      <c r="C224" s="114">
        <f t="array" ref="C224">INDEX($C$178:$C$215,MATCH("LND-MAR-15",$A$178:$A$215,0))</f>
        <v/>
      </c>
      <c r="D224" s="113" t="inlineStr">
        <is>
          <t>IDR/sheet</t>
        </is>
      </c>
      <c r="E224" s="113" t="inlineStr">
        <is>
          <t>Landed rows above</t>
        </is>
      </c>
      <c r="F224" s="112">
        <f t="array" ref="F224">INDEX($F$178:$F$215,MATCH("LND-MAR-15",$A$178:$A$215,0))</f>
        <v/>
      </c>
      <c r="G224" s="112">
        <f>F224*$C$172</f>
        <v/>
      </c>
      <c r="H224" s="95" t="n"/>
      <c r="I224" s="95" t="n"/>
    </row>
    <row r="225">
      <c r="A225" s="113" t="inlineStr">
        <is>
          <t>PLY-18-MAR</t>
        </is>
      </c>
      <c r="B225" s="117" t="inlineStr">
        <is>
          <t>Marine plywood 18 mm, raw</t>
        </is>
      </c>
      <c r="C225" s="114">
        <f t="array" ref="C225">INDEX($C$178:$C$215,MATCH("LND-MAR-18",$A$178:$A$215,0))</f>
        <v/>
      </c>
      <c r="D225" s="113" t="inlineStr">
        <is>
          <t>IDR/sheet</t>
        </is>
      </c>
      <c r="E225" s="113" t="inlineStr">
        <is>
          <t>Landed rows above</t>
        </is>
      </c>
      <c r="F225" s="112">
        <f t="array" ref="F225">INDEX($F$178:$F$215,MATCH("LND-MAR-18",$A$178:$A$215,0))</f>
        <v/>
      </c>
      <c r="G225" s="112">
        <f>F225*$C$172</f>
        <v/>
      </c>
      <c r="H225" s="95" t="n"/>
      <c r="I225" s="95" t="n"/>
    </row>
    <row r="227">
      <c r="A227" s="97" t="inlineStr">
        <is>
          <t>HARDWARE (bought-in). Value = USD price × FX_USD.</t>
        </is>
      </c>
      <c r="B227" s="98" t="n"/>
      <c r="C227" s="98" t="n"/>
      <c r="D227" s="98" t="n"/>
      <c r="E227" s="98" t="n"/>
      <c r="F227" s="125" t="inlineStr">
        <is>
          <t>Quote USD</t>
        </is>
      </c>
      <c r="G227" s="126" t="inlineStr">
        <is>
          <t>Quote IDR (USD × FX_USD)</t>
        </is>
      </c>
      <c r="H227" s="98" t="n"/>
      <c r="I227" s="98" t="n"/>
    </row>
    <row r="228">
      <c r="A228" s="113" t="inlineStr">
        <is>
          <t>HW-RAIL-DTC</t>
        </is>
      </c>
      <c r="B228" s="117" t="inlineStr">
        <is>
          <t>Drawer rail DTC, side-mount, soft-close, ball-bearing</t>
        </is>
      </c>
      <c r="C228" s="114">
        <f>G228</f>
        <v/>
      </c>
      <c r="D228" s="113" t="inlineStr">
        <is>
          <t>IDR/pair</t>
        </is>
      </c>
      <c r="E228" s="113" t="inlineStr">
        <is>
          <t>Approved by David 7 Oct 2026 (project doc HARDWARE PRICE 16 OCT). Same price for all lengths.</t>
        </is>
      </c>
      <c r="F228" s="112" t="n">
        <v>2.75</v>
      </c>
      <c r="G228" s="112">
        <f>F228*$C$172</f>
        <v/>
      </c>
      <c r="H228" s="95" t="n"/>
      <c r="I228" s="95" t="n"/>
    </row>
    <row r="229">
      <c r="A229" s="113" t="inlineStr">
        <is>
          <t>HW-HINGE-DTC</t>
        </is>
      </c>
      <c r="B229" s="117" t="inlineStr">
        <is>
          <t>Soft-close hinge DTC</t>
        </is>
      </c>
      <c r="C229" s="114">
        <f>G229</f>
        <v/>
      </c>
      <c r="D229" s="113" t="inlineStr">
        <is>
          <t>IDR/pc</t>
        </is>
      </c>
      <c r="E229" s="113" t="inlineStr">
        <is>
          <t>Approved by David 7 Oct 2026 (project doc HARDWARE PRICE 16 OCT)</t>
        </is>
      </c>
      <c r="F229" s="112" t="n">
        <v>0.6</v>
      </c>
      <c r="G229" s="112">
        <f>F229*$C$172</f>
        <v/>
      </c>
      <c r="H229" s="95" t="n"/>
      <c r="I229" s="95" t="n"/>
    </row>
    <row r="231">
      <c r="A231" s="127" t="inlineStr">
        <is>
          <t>VENEERED LANDED BOARDS (E2 + Mindi Veneer)</t>
        </is>
      </c>
      <c r="B231" s="98" t="n"/>
      <c r="C231" s="98" t="n"/>
      <c r="D231" s="98" t="n"/>
      <c r="E231" s="98" t="n"/>
      <c r="F231" s="98" t="n"/>
      <c r="G231" s="98" t="n"/>
      <c r="H231" s="98" t="n"/>
      <c r="I231" s="98" t="n"/>
    </row>
    <row r="232">
      <c r="A232" s="95" t="inlineStr">
        <is>
          <t>LND-PLY-E2-18-MSF</t>
        </is>
      </c>
      <c r="B232" s="93" t="inlineStr">
        <is>
          <t>Plywood E2 18 mm, Mindi single face</t>
        </is>
      </c>
      <c r="C232" s="128">
        <f>INDEX($C$178:$C$215,MATCH("LND-PLY-E2-18",$A$178:$A$215,0))+$C$175</f>
        <v/>
      </c>
      <c r="D232" s="95" t="inlineStr">
        <is>
          <t>IDR/sheet</t>
        </is>
      </c>
      <c r="E232" s="95" t="n"/>
      <c r="F232" s="95" t="n"/>
      <c r="G232" s="95" t="n"/>
      <c r="H232" s="95" t="n"/>
      <c r="I232" s="95" t="n"/>
    </row>
    <row r="233">
      <c r="A233" s="95" t="inlineStr">
        <is>
          <t>LND-PLY-E2-18-MDF</t>
        </is>
      </c>
      <c r="B233" s="93" t="inlineStr">
        <is>
          <t>Plywood E2 18 mm, Mindi double face</t>
        </is>
      </c>
      <c r="C233" s="128">
        <f>INDEX($C$178:$C$215,MATCH("LND-PLY-E2-18",$A$178:$A$215,0))+2*$C$175</f>
        <v/>
      </c>
      <c r="D233" s="95" t="inlineStr">
        <is>
          <t>IDR/sheet</t>
        </is>
      </c>
      <c r="E233" s="95" t="n"/>
      <c r="F233" s="95" t="n"/>
      <c r="G233" s="95" t="n"/>
      <c r="H233" s="95" t="n"/>
      <c r="I233" s="95" t="n"/>
    </row>
    <row r="234">
      <c r="A234" s="95" t="inlineStr">
        <is>
          <t>LND-PLY-E2-15-MSF</t>
        </is>
      </c>
      <c r="B234" s="93" t="inlineStr">
        <is>
          <t>Plywood E2 15 mm, Mindi single face</t>
        </is>
      </c>
      <c r="C234" s="128">
        <f>INDEX($C$178:$C$215,MATCH("LND-PLY-E2-15",$A$178:$A$215,0))+$C$175</f>
        <v/>
      </c>
      <c r="D234" s="95" t="inlineStr">
        <is>
          <t>IDR/sheet</t>
        </is>
      </c>
      <c r="E234" s="95" t="n"/>
      <c r="F234" s="95" t="n"/>
      <c r="G234" s="95" t="n"/>
      <c r="H234" s="95" t="n"/>
      <c r="I234" s="95" t="n"/>
    </row>
    <row r="235">
      <c r="A235" s="95" t="inlineStr">
        <is>
          <t>LND-PLY-E2-15-MDF</t>
        </is>
      </c>
      <c r="B235" s="93" t="inlineStr">
        <is>
          <t>Plywood E2 15 mm, Mindi double face</t>
        </is>
      </c>
      <c r="C235" s="128">
        <f>INDEX($C$178:$C$215,MATCH("LND-PLY-E2-15",$A$178:$A$215,0))+2*$C$175</f>
        <v/>
      </c>
      <c r="D235" s="95" t="inlineStr">
        <is>
          <t>IDR/sheet</t>
        </is>
      </c>
      <c r="E235" s="95" t="n"/>
      <c r="F235" s="95" t="n"/>
      <c r="G235" s="95" t="n"/>
      <c r="H235" s="95" t="n"/>
      <c r="I235" s="95" t="n"/>
    </row>
    <row r="236">
      <c r="A236" s="95" t="inlineStr">
        <is>
          <t>LND-PLY-E2-12-MSF</t>
        </is>
      </c>
      <c r="B236" s="93" t="inlineStr">
        <is>
          <t>Plywood E2 12 mm, Mindi single face</t>
        </is>
      </c>
      <c r="C236" s="128">
        <f>INDEX($C$178:$C$215,MATCH("LND-PLY-E2-12",$A$178:$A$215,0))+$C$175</f>
        <v/>
      </c>
      <c r="D236" s="95" t="inlineStr">
        <is>
          <t>IDR/sheet</t>
        </is>
      </c>
      <c r="E236" s="95" t="n"/>
      <c r="F236" s="95" t="n"/>
      <c r="G236" s="95" t="n"/>
      <c r="H236" s="95" t="n"/>
      <c r="I236" s="95" t="n"/>
    </row>
    <row r="237">
      <c r="A237" s="95" t="inlineStr">
        <is>
          <t>LND-PLY-E2-12-MDF</t>
        </is>
      </c>
      <c r="B237" s="93" t="inlineStr">
        <is>
          <t>Plywood E2 12 mm, Mindi double face</t>
        </is>
      </c>
      <c r="C237" s="128">
        <f>INDEX($C$178:$C$215,MATCH("LND-PLY-E2-12",$A$178:$A$215,0))+2*$C$175</f>
        <v/>
      </c>
      <c r="D237" s="95" t="inlineStr">
        <is>
          <t>IDR/sheet</t>
        </is>
      </c>
      <c r="E237" s="95" t="n"/>
      <c r="F237" s="95" t="n"/>
      <c r="G237" s="95" t="n"/>
      <c r="H237" s="95" t="n"/>
      <c r="I237" s="95" t="n"/>
    </row>
    <row r="238">
      <c r="A238" s="95" t="inlineStr">
        <is>
          <t>LND-PLY-E2-9-MSF</t>
        </is>
      </c>
      <c r="B238" s="93" t="inlineStr">
        <is>
          <t>Plywood E2 9 mm, Mindi single face</t>
        </is>
      </c>
      <c r="C238" s="128">
        <f>INDEX($C$178:$C$215,MATCH("LND-PLY-E2-9",$A$178:$A$215,0))+$C$175</f>
        <v/>
      </c>
      <c r="D238" s="95" t="inlineStr">
        <is>
          <t>IDR/sheet</t>
        </is>
      </c>
      <c r="E238" s="95" t="n"/>
      <c r="F238" s="95" t="n"/>
      <c r="G238" s="95" t="n"/>
      <c r="H238" s="95" t="n"/>
      <c r="I238" s="95" t="n"/>
    </row>
    <row r="239">
      <c r="A239" s="95" t="inlineStr">
        <is>
          <t>LND-PLY-E2-9-MDF</t>
        </is>
      </c>
      <c r="B239" s="93" t="inlineStr">
        <is>
          <t>Plywood E2 9 mm, Mindi double face</t>
        </is>
      </c>
      <c r="C239" s="128">
        <f>INDEX($C$178:$C$215,MATCH("LND-PLY-E2-9",$A$178:$A$215,0))+2*$C$175</f>
        <v/>
      </c>
      <c r="D239" s="95" t="inlineStr">
        <is>
          <t>IDR/sheet</t>
        </is>
      </c>
      <c r="E239" s="95" t="n"/>
      <c r="F239" s="95" t="n"/>
      <c r="G239" s="95" t="n"/>
      <c r="H239" s="95" t="n"/>
      <c r="I239" s="95" t="n"/>
    </row>
    <row r="240">
      <c r="A240" s="95" t="inlineStr">
        <is>
          <t>LND-PLY-E2-6-MSF</t>
        </is>
      </c>
      <c r="B240" s="93" t="inlineStr">
        <is>
          <t>Plywood E2 6 mm, Mindi single face</t>
        </is>
      </c>
      <c r="C240" s="128">
        <f>INDEX($C$178:$C$215,MATCH("LND-PLY-E2-6",$A$178:$A$215,0))+$C$175</f>
        <v/>
      </c>
      <c r="D240" s="95" t="inlineStr">
        <is>
          <t>IDR/sheet</t>
        </is>
      </c>
      <c r="E240" s="95" t="n"/>
      <c r="F240" s="95" t="n"/>
      <c r="G240" s="95" t="n"/>
      <c r="H240" s="95" t="n"/>
      <c r="I240" s="95" t="n"/>
    </row>
    <row r="241">
      <c r="A241" s="95" t="inlineStr">
        <is>
          <t>LND-PLY-E2-6-MDF</t>
        </is>
      </c>
      <c r="B241" s="93" t="inlineStr">
        <is>
          <t>Plywood E2 6 mm, Mindi double face</t>
        </is>
      </c>
      <c r="C241" s="128">
        <f>INDEX($C$178:$C$215,MATCH("LND-PLY-E2-6",$A$178:$A$215,0))+2*$C$175</f>
        <v/>
      </c>
      <c r="D241" s="95" t="inlineStr">
        <is>
          <t>IDR/sheet</t>
        </is>
      </c>
      <c r="E241" s="95" t="n"/>
      <c r="F241" s="95" t="n"/>
      <c r="G241" s="95" t="n"/>
      <c r="H241" s="95" t="n"/>
      <c r="I241" s="95" t="n"/>
    </row>
    <row r="242">
      <c r="A242" s="95" t="inlineStr">
        <is>
          <t>LND-PLY-E2-3-MSF</t>
        </is>
      </c>
      <c r="B242" s="93" t="inlineStr">
        <is>
          <t>Plywood E2 3 mm, Mindi single face</t>
        </is>
      </c>
      <c r="C242" s="128">
        <f>INDEX($C$178:$C$215,MATCH("LND-PLY-E2-3",$A$178:$A$215,0))+$C$175</f>
        <v/>
      </c>
      <c r="D242" s="95" t="inlineStr">
        <is>
          <t>IDR/sheet</t>
        </is>
      </c>
      <c r="E242" s="95" t="n"/>
      <c r="F242" s="95" t="n"/>
      <c r="G242" s="95" t="n"/>
      <c r="H242" s="95" t="n"/>
      <c r="I242" s="95" t="n"/>
    </row>
    <row r="243">
      <c r="A243" s="95" t="inlineStr">
        <is>
          <t>LND-PLY-E2-3-MDF</t>
        </is>
      </c>
      <c r="B243" s="93" t="inlineStr">
        <is>
          <t>Plywood E2 3 mm, Mindi double face</t>
        </is>
      </c>
      <c r="C243" s="128">
        <f>INDEX($C$178:$C$215,MATCH("LND-PLY-E2-3",$A$178:$A$215,0))+2*$C$175</f>
        <v/>
      </c>
      <c r="D243" s="95" t="inlineStr">
        <is>
          <t>IDR/sheet</t>
        </is>
      </c>
      <c r="E243" s="95" t="n"/>
      <c r="F243" s="95" t="n"/>
      <c r="G243" s="95" t="n"/>
      <c r="H243" s="95" t="n"/>
      <c r="I243" s="95" t="n"/>
    </row>
    <row r="244">
      <c r="A244" s="95" t="inlineStr">
        <is>
          <t>LND-MDF-E2-18-MSF</t>
        </is>
      </c>
      <c r="B244" s="93" t="inlineStr">
        <is>
          <t>MDF E2 18 mm, Mindi single face</t>
        </is>
      </c>
      <c r="C244" s="128">
        <f>INDEX($C$178:$C$215,MATCH("LND-MDF-E2-18",$A$178:$A$215,0))+$C$175</f>
        <v/>
      </c>
      <c r="D244" s="95" t="inlineStr">
        <is>
          <t>IDR/sheet</t>
        </is>
      </c>
      <c r="E244" s="95" t="n"/>
      <c r="F244" s="95" t="n"/>
      <c r="G244" s="95" t="n"/>
      <c r="H244" s="95" t="n"/>
      <c r="I244" s="95" t="n"/>
    </row>
    <row r="245">
      <c r="A245" s="95" t="inlineStr">
        <is>
          <t>LND-MDF-E2-18-MDF</t>
        </is>
      </c>
      <c r="B245" s="93" t="inlineStr">
        <is>
          <t>MDF E2 18 mm, Mindi double face</t>
        </is>
      </c>
      <c r="C245" s="128">
        <f>INDEX($C$178:$C$215,MATCH("LND-MDF-E2-18",$A$178:$A$215,0))+2*$C$175</f>
        <v/>
      </c>
      <c r="D245" s="95" t="inlineStr">
        <is>
          <t>IDR/sheet</t>
        </is>
      </c>
      <c r="E245" s="95" t="n"/>
      <c r="F245" s="95" t="n"/>
      <c r="G245" s="95" t="n"/>
      <c r="H245" s="95" t="n"/>
      <c r="I245" s="95" t="n"/>
    </row>
    <row r="246">
      <c r="A246" s="95" t="inlineStr">
        <is>
          <t>LND-MDF-E2-15-MSF</t>
        </is>
      </c>
      <c r="B246" s="93" t="inlineStr">
        <is>
          <t>MDF E2 15 mm, Mindi single face</t>
        </is>
      </c>
      <c r="C246" s="128">
        <f>INDEX($C$178:$C$215,MATCH("LND-MDF-E2-15",$A$178:$A$215,0))+$C$175</f>
        <v/>
      </c>
      <c r="D246" s="95" t="inlineStr">
        <is>
          <t>IDR/sheet</t>
        </is>
      </c>
      <c r="E246" s="95" t="n"/>
      <c r="F246" s="95" t="n"/>
      <c r="G246" s="95" t="n"/>
      <c r="H246" s="95" t="n"/>
      <c r="I246" s="95" t="n"/>
    </row>
    <row r="247">
      <c r="A247" s="95" t="inlineStr">
        <is>
          <t>LND-MDF-E2-12-MSF</t>
        </is>
      </c>
      <c r="B247" s="93" t="inlineStr">
        <is>
          <t>MDF E2 12 mm, Mindi single face</t>
        </is>
      </c>
      <c r="C247" s="128">
        <f>INDEX($C$178:$C$215,MATCH("LND-MDF-E2-12",$A$178:$A$215,0))+$C$175</f>
        <v/>
      </c>
      <c r="D247" s="95" t="inlineStr">
        <is>
          <t>IDR/sheet</t>
        </is>
      </c>
      <c r="E247" s="95" t="n"/>
      <c r="F247" s="95" t="n"/>
      <c r="G247" s="95" t="n"/>
      <c r="H247" s="95" t="n"/>
      <c r="I247" s="95" t="n"/>
    </row>
    <row r="248">
      <c r="A248" s="95" t="inlineStr">
        <is>
          <t>LND-MDF-E2-9-MSF</t>
        </is>
      </c>
      <c r="B248" s="93" t="inlineStr">
        <is>
          <t>MDF E2 9 mm, Mindi single face</t>
        </is>
      </c>
      <c r="C248" s="128">
        <f>INDEX($C$178:$C$215,MATCH("LND-MDF-E2-9",$A$178:$A$215,0))+$C$175</f>
        <v/>
      </c>
      <c r="D248" s="95" t="inlineStr">
        <is>
          <t>IDR/sheet</t>
        </is>
      </c>
      <c r="E248" s="95" t="n"/>
      <c r="F248" s="95" t="n"/>
      <c r="G248" s="95" t="n"/>
      <c r="H248" s="95" t="n"/>
      <c r="I248" s="95" t="n"/>
    </row>
    <row r="249">
      <c r="A249" s="95" t="inlineStr">
        <is>
          <t>LND-MDF-E2-6-MSF</t>
        </is>
      </c>
      <c r="B249" s="93" t="inlineStr">
        <is>
          <t>MDF E2 6 mm, Mindi single face</t>
        </is>
      </c>
      <c r="C249" s="128">
        <f>INDEX($C$178:$C$215,MATCH("LND-MDF-E2-6",$A$178:$A$215,0))+$C$175</f>
        <v/>
      </c>
      <c r="D249" s="95" t="inlineStr">
        <is>
          <t>IDR/sheet</t>
        </is>
      </c>
      <c r="E249" s="95" t="n"/>
      <c r="F249" s="95" t="n"/>
      <c r="G249" s="95" t="n"/>
      <c r="H249" s="95" t="n"/>
      <c r="I249" s="95" t="n"/>
    </row>
    <row r="251">
      <c r="A251" s="127" t="inlineStr">
        <is>
          <t>METAL = black hollow steel (rule 19 Oct 2026). METAL parts are priced from the STEEL HOLLOW SECTION list below: length x qty x IDR/m of HOLLOW-&lt;a&gt;x&lt;b&gt;x&lt;wall&gt;. Set the wall thickness here.</t>
        </is>
      </c>
      <c r="B251" s="98" t="n"/>
      <c r="C251" s="98" t="n"/>
      <c r="D251" s="98" t="n"/>
      <c r="E251" s="98" t="n"/>
      <c r="F251" s="98" t="n"/>
      <c r="G251" s="98" t="n"/>
      <c r="H251" s="98" t="n"/>
      <c r="I251" s="98" t="n"/>
    </row>
    <row r="252">
      <c r="A252" s="113" t="inlineStr">
        <is>
          <t>HOLLOW_WALL</t>
        </is>
      </c>
      <c r="B252" s="117" t="inlineStr">
        <is>
          <t>Wall thickness used for ALL METAL parts (not on drawings)</t>
        </is>
      </c>
      <c r="C252" s="129" t="n">
        <v>0.8</v>
      </c>
      <c r="D252" s="113" t="inlineStr">
        <is>
          <t>mm</t>
        </is>
      </c>
      <c r="E252" s="113" t="inlineStr">
        <is>
          <t>0.8 mm for now (decision 19 Oct 2026). Change by hand. If a section has no such wall in the list (50x50, 40x60 start at 1.0), the next listed wall is used.</t>
        </is>
      </c>
      <c r="F252" s="95" t="n"/>
      <c r="G252" s="95" t="n"/>
      <c r="H252" s="95" t="n"/>
      <c r="I252" s="95" t="n"/>
    </row>
    <row r="253">
      <c r="A253" s="113" t="inlineStr">
        <is>
          <t>METAL_B</t>
        </is>
      </c>
      <c r="B253" s="117" t="inlineStr">
        <is>
          <t>Metal tier B</t>
        </is>
      </c>
      <c r="C253" s="129" t="inlineStr">
        <is>
          <t>n/a</t>
        </is>
      </c>
      <c r="D253" s="113" t="inlineStr">
        <is>
          <t>IDR/m³</t>
        </is>
      </c>
      <c r="E253" s="113" t="inlineStr">
        <is>
          <t>Not used: METAL parts are priced from the HOLLOW-... list</t>
        </is>
      </c>
      <c r="F253" s="95" t="n"/>
      <c r="G253" s="95" t="n"/>
      <c r="H253" s="95" t="n"/>
      <c r="I253" s="95" t="n"/>
    </row>
    <row r="254">
      <c r="A254" s="113" t="inlineStr">
        <is>
          <t>METAL_C</t>
        </is>
      </c>
      <c r="B254" s="117" t="inlineStr">
        <is>
          <t>Metal tier C</t>
        </is>
      </c>
      <c r="C254" s="129" t="inlineStr">
        <is>
          <t>n/a</t>
        </is>
      </c>
      <c r="D254" s="113" t="inlineStr">
        <is>
          <t>IDR/m³</t>
        </is>
      </c>
      <c r="E254" s="113" t="inlineStr">
        <is>
          <t>Not used: METAL parts are priced from the HOLLOW-... list</t>
        </is>
      </c>
      <c r="F254" s="95" t="n"/>
      <c r="G254" s="95" t="n"/>
      <c r="H254" s="95" t="n"/>
      <c r="I254" s="95" t="n"/>
    </row>
    <row r="255">
      <c r="A255" s="113" t="inlineStr">
        <is>
          <t>METAL_D</t>
        </is>
      </c>
      <c r="B255" s="117" t="inlineStr">
        <is>
          <t>Metal tier D</t>
        </is>
      </c>
      <c r="C255" s="129" t="inlineStr">
        <is>
          <t>n/a</t>
        </is>
      </c>
      <c r="D255" s="113" t="inlineStr">
        <is>
          <t>IDR/m³</t>
        </is>
      </c>
      <c r="E255" s="113" t="inlineStr">
        <is>
          <t>Not used: METAL parts are priced from the HOLLOW-... list</t>
        </is>
      </c>
      <c r="F255" s="95" t="n"/>
      <c r="G255" s="95" t="n"/>
      <c r="H255" s="95" t="n"/>
      <c r="I255" s="95" t="n"/>
    </row>
    <row r="256">
      <c r="A256" s="113" t="inlineStr">
        <is>
          <t>metal_brass</t>
        </is>
      </c>
      <c r="B256" s="117" t="inlineStr">
        <is>
          <t>Brass, per kg (reference)</t>
        </is>
      </c>
      <c r="C256" s="129" t="inlineStr">
        <is>
          <t>n/a</t>
        </is>
      </c>
      <c r="D256" s="113" t="inlineStr">
        <is>
          <t>IDR/kg</t>
        </is>
      </c>
      <c r="E256" s="113" t="inlineStr">
        <is>
          <t>Not used: METAL parts are priced from the HOLLOW-... list</t>
        </is>
      </c>
      <c r="F256" s="95" t="n"/>
      <c r="G256" s="95" t="n"/>
      <c r="H256" s="95" t="n"/>
      <c r="I256" s="95" t="n"/>
    </row>
    <row r="257">
      <c r="A257" s="113" t="inlineStr">
        <is>
          <t>metal_steel</t>
        </is>
      </c>
      <c r="B257" s="117" t="inlineStr">
        <is>
          <t>Steel / hollow section, per kg (reference)</t>
        </is>
      </c>
      <c r="C257" s="129" t="inlineStr">
        <is>
          <t>n/a</t>
        </is>
      </c>
      <c r="D257" s="113" t="inlineStr">
        <is>
          <t>IDR/kg</t>
        </is>
      </c>
      <c r="E257" s="113" t="inlineStr">
        <is>
          <t>Not used: METAL parts are priced from the HOLLOW-... list</t>
        </is>
      </c>
      <c r="F257" s="95" t="n"/>
      <c r="G257" s="95" t="n"/>
      <c r="H257" s="95" t="n"/>
      <c r="I257" s="95" t="n"/>
    </row>
    <row r="259">
      <c r="A259" s="127" t="inlineStr">
        <is>
          <t>CURVES (added 19 Oct 2026). Rounded corners R30/R40: tier A-CURVED, blank = finished + arc + tolerance. Value EMPTY until factory gives the tolerance.</t>
        </is>
      </c>
      <c r="B259" s="98" t="n"/>
      <c r="C259" s="98" t="n"/>
      <c r="D259" s="98" t="n"/>
      <c r="E259" s="98" t="n"/>
      <c r="F259" s="98" t="n"/>
    </row>
    <row r="260">
      <c r="A260" s="113" t="inlineStr">
        <is>
          <t>CURVE_ALLOW</t>
        </is>
      </c>
      <c r="B260" s="117" t="inlineStr">
        <is>
          <t>Tolerance added to length and width of a curved part (arc is computed from the radius)</t>
        </is>
      </c>
      <c r="C260" s="129" t="n"/>
      <c r="D260" s="113" t="inlineStr">
        <is>
          <t>mm</t>
        </is>
      </c>
      <c r="E260" s="113" t="inlineStr">
        <is>
          <t>EMPTY: waiting for factory figure</t>
        </is>
      </c>
    </row>
    <row r="262">
      <c r="A262" s="127" t="inlineStr">
        <is>
          <t>VENEER (added 19 Oct 2026). Face veneer cost is built from log price, slicing yield and vendor fee, for 0.6 / 1.0 / 1.2 mm. Default board codes (-MSF, -MDF) use 0.6 mm. Add -V10 or -V12 to the code for 1.0 or 1.2 mm.</t>
        </is>
      </c>
      <c r="B262" s="98" t="n"/>
      <c r="C262" s="98" t="n"/>
      <c r="D262" s="98" t="n"/>
      <c r="E262" s="98" t="n"/>
      <c r="F262" s="98" t="n"/>
    </row>
    <row r="263">
      <c r="A263" s="113" t="inlineStr">
        <is>
          <t>VEN_LOG_PRICE</t>
        </is>
      </c>
      <c r="B263" s="117" t="inlineStr">
        <is>
          <t>Mindi log price for veneer</t>
        </is>
      </c>
      <c r="C263" s="129" t="n">
        <v>3200000</v>
      </c>
      <c r="D263" s="113" t="inlineStr">
        <is>
          <t>IDR/m³</t>
        </is>
      </c>
      <c r="E263" s="113" t="inlineStr">
        <is>
          <t>Update 19 Oct 2026. Status CONFIRM (log_mindi in this card is 3,000,000)</t>
        </is>
      </c>
    </row>
    <row r="264">
      <c r="A264" s="113" t="inlineStr">
        <is>
          <t>VEN_SLICE_YIELD</t>
        </is>
      </c>
      <c r="B264" s="117" t="inlineStr">
        <is>
          <t>Slicing yield quoted by the veneer vendor</t>
        </is>
      </c>
      <c r="C264" s="129" t="n">
        <v>0.3</v>
      </c>
      <c r="D264" s="113" t="inlineStr">
        <is>
          <t>%</t>
        </is>
      </c>
      <c r="E264" s="113" t="inlineStr">
        <is>
          <t>Vendor, mindi / mahogany. Status CONFIRM</t>
        </is>
      </c>
    </row>
    <row r="265">
      <c r="A265" s="113" t="inlineStr">
        <is>
          <t>VEN_FLITCH_W</t>
        </is>
      </c>
      <c r="B265" s="117" t="inlineStr">
        <is>
          <t>Flitch width before trimming</t>
        </is>
      </c>
      <c r="C265" s="129" t="n">
        <v>160</v>
      </c>
      <c r="D265" s="113" t="inlineStr">
        <is>
          <t>mm</t>
        </is>
      </c>
      <c r="E265" s="113" t="inlineStr">
        <is>
          <t>Vendor flitch 2.5 m long</t>
        </is>
      </c>
    </row>
    <row r="266">
      <c r="A266" s="113" t="inlineStr">
        <is>
          <t>VEN_TRIM_W</t>
        </is>
      </c>
      <c r="B266" s="117" t="inlineStr">
        <is>
          <t>Flitch width after trimming</t>
        </is>
      </c>
      <c r="C266" s="129" t="n">
        <v>150</v>
      </c>
      <c r="D266" s="113" t="inlineStr">
        <is>
          <t>mm</t>
        </is>
      </c>
      <c r="E266" s="113" t="inlineStr">
        <is>
          <t>Vendor flitch 2.5 m long</t>
        </is>
      </c>
    </row>
    <row r="267">
      <c r="A267" s="113" t="inlineStr">
        <is>
          <t>VEN_YIELD_EFF</t>
        </is>
      </c>
      <c r="B267" s="117" t="inlineStr">
        <is>
          <t>Effective yield = slicing yield x trim width / flitch width</t>
        </is>
      </c>
      <c r="C267" s="129">
        <f>C264*C266/C265</f>
        <v/>
      </c>
      <c r="D267" s="113" t="inlineStr">
        <is>
          <t>%</t>
        </is>
      </c>
      <c r="E267" s="113" t="inlineStr">
        <is>
          <t>Formula (28.125% with the figures above)</t>
        </is>
      </c>
    </row>
    <row r="268">
      <c r="A268" s="113" t="inlineStr">
        <is>
          <t>VEN_SLICE_FEE</t>
        </is>
      </c>
      <c r="B268" s="117" t="inlineStr">
        <is>
          <t>Slicing fee, per m2 of usable veneer</t>
        </is>
      </c>
      <c r="C268" s="129" t="n">
        <v>12000</v>
      </c>
      <c r="D268" s="113" t="inlineStr">
        <is>
          <t>IDR/m²</t>
        </is>
      </c>
      <c r="E268" s="113" t="inlineStr">
        <is>
          <t>Vendor. Matches market 0.6 mm at 18-20 ribu. Status CONFIRM (assumed billed on usable m2)</t>
        </is>
      </c>
    </row>
    <row r="269">
      <c r="A269" s="113" t="inlineStr">
        <is>
          <t>VEN_T_06</t>
        </is>
      </c>
      <c r="B269" s="117" t="inlineStr">
        <is>
          <t>Veneer thickness 0.6 mm</t>
        </is>
      </c>
      <c r="C269" s="129" t="n">
        <v>0.6</v>
      </c>
      <c r="D269" s="113" t="inlineStr">
        <is>
          <t>mm</t>
        </is>
      </c>
      <c r="E269" s="113" t="inlineStr">
        <is>
          <t>Industry sliced thickness</t>
        </is>
      </c>
    </row>
    <row r="270">
      <c r="A270" s="113" t="inlineStr">
        <is>
          <t>VEN_T_10</t>
        </is>
      </c>
      <c r="B270" s="117" t="inlineStr">
        <is>
          <t>Veneer thickness 1.0 mm</t>
        </is>
      </c>
      <c r="C270" s="129" t="n">
        <v>1</v>
      </c>
      <c r="D270" s="113" t="inlineStr">
        <is>
          <t>mm</t>
        </is>
      </c>
      <c r="E270" s="113" t="inlineStr">
        <is>
          <t>Industry sliced thickness</t>
        </is>
      </c>
    </row>
    <row r="271">
      <c r="A271" s="113" t="inlineStr">
        <is>
          <t>VEN_T_12</t>
        </is>
      </c>
      <c r="B271" s="117" t="inlineStr">
        <is>
          <t>Veneer thickness 1.2 mm</t>
        </is>
      </c>
      <c r="C271" s="129" t="n">
        <v>1.2</v>
      </c>
      <c r="D271" s="113" t="inlineStr">
        <is>
          <t>mm</t>
        </is>
      </c>
      <c r="E271" s="113" t="inlineStr">
        <is>
          <t>Industry sliced thickness</t>
        </is>
      </c>
    </row>
    <row r="272">
      <c r="A272" s="113" t="inlineStr">
        <is>
          <t>VEN_M2_06</t>
        </is>
      </c>
      <c r="B272" s="117" t="inlineStr">
        <is>
          <t>Veneer cost per m2 usable, 0.6 mm (wood + slicing fee)</t>
        </is>
      </c>
      <c r="C272" s="129">
        <f>C263*C269/1000/C267+C268</f>
        <v/>
      </c>
      <c r="D272" s="113" t="inlineStr">
        <is>
          <t>IDR/m²</t>
        </is>
      </c>
      <c r="E272" s="113" t="inlineStr">
        <is>
          <t>Formula: log price x thickness / effective yield + fee</t>
        </is>
      </c>
    </row>
    <row r="273">
      <c r="A273" s="113" t="inlineStr">
        <is>
          <t>VEN_M2_10</t>
        </is>
      </c>
      <c r="B273" s="117" t="inlineStr">
        <is>
          <t>Veneer cost per m2 usable, 1.0 mm (wood + slicing fee)</t>
        </is>
      </c>
      <c r="C273" s="129">
        <f>C263*C270/1000/C267+C268</f>
        <v/>
      </c>
      <c r="D273" s="113" t="inlineStr">
        <is>
          <t>IDR/m²</t>
        </is>
      </c>
      <c r="E273" s="113" t="inlineStr">
        <is>
          <t>Formula: log price x thickness / effective yield + fee</t>
        </is>
      </c>
    </row>
    <row r="274">
      <c r="A274" s="113" t="inlineStr">
        <is>
          <t>VEN_M2_12</t>
        </is>
      </c>
      <c r="B274" s="117" t="inlineStr">
        <is>
          <t>Veneer cost per m2 usable, 1.2 mm (wood + slicing fee)</t>
        </is>
      </c>
      <c r="C274" s="129">
        <f>C263*C271/1000/C267+C268</f>
        <v/>
      </c>
      <c r="D274" s="113" t="inlineStr">
        <is>
          <t>IDR/m²</t>
        </is>
      </c>
      <c r="E274" s="113" t="inlineStr">
        <is>
          <t>Formula: log price x thickness / effective yield + fee</t>
        </is>
      </c>
    </row>
    <row r="275">
      <c r="A275" s="113" t="inlineStr">
        <is>
          <t>VEN_FACE_06</t>
        </is>
      </c>
      <c r="B275" s="117" t="inlineStr">
        <is>
          <t>Veneer added per board face, 0.6 mm (veneer + glue/tape on a full sheet + pressing labour)</t>
        </is>
      </c>
      <c r="C275" s="129">
        <f>(C272+$C$28)*(LISTS!$F$6*LISTS!$F$7/1000000)+$C$32</f>
        <v/>
      </c>
      <c r="D275" s="113" t="inlineStr">
        <is>
          <t>IDR/face</t>
        </is>
      </c>
      <c r="E275" s="113" t="inlineStr">
        <is>
          <t>Formula: (veneer m2 + glue_tape) x sheet area + ven_labour</t>
        </is>
      </c>
    </row>
    <row r="276">
      <c r="A276" s="113" t="inlineStr">
        <is>
          <t>VEN_FACE_10</t>
        </is>
      </c>
      <c r="B276" s="117" t="inlineStr">
        <is>
          <t>Veneer added per board face, 1.0 mm (veneer + glue/tape on a full sheet + pressing labour)</t>
        </is>
      </c>
      <c r="C276" s="129">
        <f>(C273+$C$28)*(LISTS!$F$6*LISTS!$F$7/1000000)+$C$32</f>
        <v/>
      </c>
      <c r="D276" s="113" t="inlineStr">
        <is>
          <t>IDR/face</t>
        </is>
      </c>
      <c r="E276" s="113" t="inlineStr">
        <is>
          <t>Formula: (veneer m2 + glue_tape) x sheet area + ven_labour</t>
        </is>
      </c>
    </row>
    <row r="277">
      <c r="A277" s="113" t="inlineStr">
        <is>
          <t>VEN_FACE_12</t>
        </is>
      </c>
      <c r="B277" s="117" t="inlineStr">
        <is>
          <t>Veneer added per board face, 1.2 mm (veneer + glue/tape on a full sheet + pressing labour)</t>
        </is>
      </c>
      <c r="C277" s="129">
        <f>(C274+$C$28)*(LISTS!$F$6*LISTS!$F$7/1000000)+$C$32</f>
        <v/>
      </c>
      <c r="D277" s="113" t="inlineStr">
        <is>
          <t>IDR/face</t>
        </is>
      </c>
      <c r="E277" s="113" t="inlineStr">
        <is>
          <t>Formula: (veneer m2 + glue_tape) x sheet area + ven_labour</t>
        </is>
      </c>
    </row>
    <row r="279">
      <c r="A279" s="127" t="inlineStr">
        <is>
          <t>VENEERED BOARDS 1.0 / 1.2 mm (code + -V10 or -V12). Equals the default board code + number of faces x (face cost of that thickness - 0.6 mm face).</t>
        </is>
      </c>
      <c r="B279" s="98" t="n"/>
      <c r="C279" s="98" t="n"/>
      <c r="D279" s="98" t="n"/>
      <c r="E279" s="98" t="n"/>
      <c r="F279" s="98" t="n"/>
    </row>
    <row r="280">
      <c r="A280" s="95" t="inlineStr">
        <is>
          <t>LND-PLY-E2-18-MSF-V10</t>
        </is>
      </c>
      <c r="B280" s="93" t="inlineStr">
        <is>
          <t>Plywood E2 18 mm, Mindi single face (1.0 mm veneer)</t>
        </is>
      </c>
      <c r="C280" s="128">
        <f>C232+1*(C276-$C$175)</f>
        <v/>
      </c>
      <c r="D280" s="95" t="inlineStr">
        <is>
          <t>IDR/sheet</t>
        </is>
      </c>
      <c r="E280" s="95" t="inlineStr">
        <is>
          <t>1 face(s) at 1.0 mm</t>
        </is>
      </c>
      <c r="F280" s="95" t="n"/>
    </row>
    <row r="281">
      <c r="A281" s="95" t="inlineStr">
        <is>
          <t>LND-PLY-E2-18-MSF-V12</t>
        </is>
      </c>
      <c r="B281" s="93" t="inlineStr">
        <is>
          <t>Plywood E2 18 mm, Mindi single face (1.2 mm veneer)</t>
        </is>
      </c>
      <c r="C281" s="128">
        <f>C232+1*(C277-$C$175)</f>
        <v/>
      </c>
      <c r="D281" s="95" t="inlineStr">
        <is>
          <t>IDR/sheet</t>
        </is>
      </c>
      <c r="E281" s="95" t="inlineStr">
        <is>
          <t>1 face(s) at 1.2 mm</t>
        </is>
      </c>
      <c r="F281" s="95" t="n"/>
    </row>
    <row r="282">
      <c r="A282" s="95" t="inlineStr">
        <is>
          <t>LND-PLY-E2-18-MDF-V10</t>
        </is>
      </c>
      <c r="B282" s="93" t="inlineStr">
        <is>
          <t>Plywood E2 18 mm, Mindi double face (1.0 mm veneer)</t>
        </is>
      </c>
      <c r="C282" s="128">
        <f>C233+2*(C276-$C$175)</f>
        <v/>
      </c>
      <c r="D282" s="95" t="inlineStr">
        <is>
          <t>IDR/sheet</t>
        </is>
      </c>
      <c r="E282" s="95" t="inlineStr">
        <is>
          <t>2 face(s) at 1.0 mm</t>
        </is>
      </c>
      <c r="F282" s="95" t="n"/>
    </row>
    <row r="283">
      <c r="A283" s="95" t="inlineStr">
        <is>
          <t>LND-PLY-E2-18-MDF-V12</t>
        </is>
      </c>
      <c r="B283" s="93" t="inlineStr">
        <is>
          <t>Plywood E2 18 mm, Mindi double face (1.2 mm veneer)</t>
        </is>
      </c>
      <c r="C283" s="128">
        <f>C233+2*(C277-$C$175)</f>
        <v/>
      </c>
      <c r="D283" s="95" t="inlineStr">
        <is>
          <t>IDR/sheet</t>
        </is>
      </c>
      <c r="E283" s="95" t="inlineStr">
        <is>
          <t>2 face(s) at 1.2 mm</t>
        </is>
      </c>
      <c r="F283" s="95" t="n"/>
    </row>
    <row r="284">
      <c r="A284" s="95" t="inlineStr">
        <is>
          <t>LND-PLY-E2-15-MSF-V10</t>
        </is>
      </c>
      <c r="B284" s="93" t="inlineStr">
        <is>
          <t>Plywood E2 15 mm, Mindi single face (1.0 mm veneer)</t>
        </is>
      </c>
      <c r="C284" s="128">
        <f>C234+1*(C276-$C$175)</f>
        <v/>
      </c>
      <c r="D284" s="95" t="inlineStr">
        <is>
          <t>IDR/sheet</t>
        </is>
      </c>
      <c r="E284" s="95" t="inlineStr">
        <is>
          <t>1 face(s) at 1.0 mm</t>
        </is>
      </c>
      <c r="F284" s="95" t="n"/>
    </row>
    <row r="285">
      <c r="A285" s="95" t="inlineStr">
        <is>
          <t>LND-PLY-E2-15-MSF-V12</t>
        </is>
      </c>
      <c r="B285" s="93" t="inlineStr">
        <is>
          <t>Plywood E2 15 mm, Mindi single face (1.2 mm veneer)</t>
        </is>
      </c>
      <c r="C285" s="128">
        <f>C234+1*(C277-$C$175)</f>
        <v/>
      </c>
      <c r="D285" s="95" t="inlineStr">
        <is>
          <t>IDR/sheet</t>
        </is>
      </c>
      <c r="E285" s="95" t="inlineStr">
        <is>
          <t>1 face(s) at 1.2 mm</t>
        </is>
      </c>
      <c r="F285" s="95" t="n"/>
    </row>
    <row r="286">
      <c r="A286" s="95" t="inlineStr">
        <is>
          <t>LND-PLY-E2-15-MDF-V10</t>
        </is>
      </c>
      <c r="B286" s="93" t="inlineStr">
        <is>
          <t>Plywood E2 15 mm, Mindi double face (1.0 mm veneer)</t>
        </is>
      </c>
      <c r="C286" s="128">
        <f>C235+2*(C276-$C$175)</f>
        <v/>
      </c>
      <c r="D286" s="95" t="inlineStr">
        <is>
          <t>IDR/sheet</t>
        </is>
      </c>
      <c r="E286" s="95" t="inlineStr">
        <is>
          <t>2 face(s) at 1.0 mm</t>
        </is>
      </c>
      <c r="F286" s="95" t="n"/>
    </row>
    <row r="287">
      <c r="A287" s="95" t="inlineStr">
        <is>
          <t>LND-PLY-E2-15-MDF-V12</t>
        </is>
      </c>
      <c r="B287" s="93" t="inlineStr">
        <is>
          <t>Plywood E2 15 mm, Mindi double face (1.2 mm veneer)</t>
        </is>
      </c>
      <c r="C287" s="128">
        <f>C235+2*(C277-$C$175)</f>
        <v/>
      </c>
      <c r="D287" s="95" t="inlineStr">
        <is>
          <t>IDR/sheet</t>
        </is>
      </c>
      <c r="E287" s="95" t="inlineStr">
        <is>
          <t>2 face(s) at 1.2 mm</t>
        </is>
      </c>
      <c r="F287" s="95" t="n"/>
    </row>
    <row r="288">
      <c r="A288" s="95" t="inlineStr">
        <is>
          <t>LND-PLY-E2-12-MSF-V10</t>
        </is>
      </c>
      <c r="B288" s="93" t="inlineStr">
        <is>
          <t>Plywood E2 12 mm, Mindi single face (1.0 mm veneer)</t>
        </is>
      </c>
      <c r="C288" s="128">
        <f>C236+1*(C276-$C$175)</f>
        <v/>
      </c>
      <c r="D288" s="95" t="inlineStr">
        <is>
          <t>IDR/sheet</t>
        </is>
      </c>
      <c r="E288" s="95" t="inlineStr">
        <is>
          <t>1 face(s) at 1.0 mm</t>
        </is>
      </c>
      <c r="F288" s="95" t="n"/>
    </row>
    <row r="289">
      <c r="A289" s="95" t="inlineStr">
        <is>
          <t>LND-PLY-E2-12-MSF-V12</t>
        </is>
      </c>
      <c r="B289" s="93" t="inlineStr">
        <is>
          <t>Plywood E2 12 mm, Mindi single face (1.2 mm veneer)</t>
        </is>
      </c>
      <c r="C289" s="128">
        <f>C236+1*(C277-$C$175)</f>
        <v/>
      </c>
      <c r="D289" s="95" t="inlineStr">
        <is>
          <t>IDR/sheet</t>
        </is>
      </c>
      <c r="E289" s="95" t="inlineStr">
        <is>
          <t>1 face(s) at 1.2 mm</t>
        </is>
      </c>
      <c r="F289" s="95" t="n"/>
    </row>
    <row r="290">
      <c r="A290" s="95" t="inlineStr">
        <is>
          <t>LND-PLY-E2-12-MDF-V10</t>
        </is>
      </c>
      <c r="B290" s="93" t="inlineStr">
        <is>
          <t>Plywood E2 12 mm, Mindi double face (1.0 mm veneer)</t>
        </is>
      </c>
      <c r="C290" s="128">
        <f>C237+2*(C276-$C$175)</f>
        <v/>
      </c>
      <c r="D290" s="95" t="inlineStr">
        <is>
          <t>IDR/sheet</t>
        </is>
      </c>
      <c r="E290" s="95" t="inlineStr">
        <is>
          <t>2 face(s) at 1.0 mm</t>
        </is>
      </c>
      <c r="F290" s="95" t="n"/>
    </row>
    <row r="291">
      <c r="A291" s="95" t="inlineStr">
        <is>
          <t>LND-PLY-E2-12-MDF-V12</t>
        </is>
      </c>
      <c r="B291" s="93" t="inlineStr">
        <is>
          <t>Plywood E2 12 mm, Mindi double face (1.2 mm veneer)</t>
        </is>
      </c>
      <c r="C291" s="128">
        <f>C237+2*(C277-$C$175)</f>
        <v/>
      </c>
      <c r="D291" s="95" t="inlineStr">
        <is>
          <t>IDR/sheet</t>
        </is>
      </c>
      <c r="E291" s="95" t="inlineStr">
        <is>
          <t>2 face(s) at 1.2 mm</t>
        </is>
      </c>
      <c r="F291" s="95" t="n"/>
    </row>
    <row r="292">
      <c r="A292" s="95" t="inlineStr">
        <is>
          <t>LND-PLY-E2-9-MSF-V10</t>
        </is>
      </c>
      <c r="B292" s="93" t="inlineStr">
        <is>
          <t>Plywood E2 9 mm, Mindi single face (1.0 mm veneer)</t>
        </is>
      </c>
      <c r="C292" s="128">
        <f>C238+1*(C276-$C$175)</f>
        <v/>
      </c>
      <c r="D292" s="95" t="inlineStr">
        <is>
          <t>IDR/sheet</t>
        </is>
      </c>
      <c r="E292" s="95" t="inlineStr">
        <is>
          <t>1 face(s) at 1.0 mm</t>
        </is>
      </c>
      <c r="F292" s="95" t="n"/>
    </row>
    <row r="293">
      <c r="A293" s="95" t="inlineStr">
        <is>
          <t>LND-PLY-E2-9-MSF-V12</t>
        </is>
      </c>
      <c r="B293" s="93" t="inlineStr">
        <is>
          <t>Plywood E2 9 mm, Mindi single face (1.2 mm veneer)</t>
        </is>
      </c>
      <c r="C293" s="128">
        <f>C238+1*(C277-$C$175)</f>
        <v/>
      </c>
      <c r="D293" s="95" t="inlineStr">
        <is>
          <t>IDR/sheet</t>
        </is>
      </c>
      <c r="E293" s="95" t="inlineStr">
        <is>
          <t>1 face(s) at 1.2 mm</t>
        </is>
      </c>
      <c r="F293" s="95" t="n"/>
    </row>
    <row r="294">
      <c r="A294" s="95" t="inlineStr">
        <is>
          <t>LND-PLY-E2-9-MDF-V10</t>
        </is>
      </c>
      <c r="B294" s="93" t="inlineStr">
        <is>
          <t>Plywood E2 9 mm, Mindi double face (1.0 mm veneer)</t>
        </is>
      </c>
      <c r="C294" s="128">
        <f>C239+2*(C276-$C$175)</f>
        <v/>
      </c>
      <c r="D294" s="95" t="inlineStr">
        <is>
          <t>IDR/sheet</t>
        </is>
      </c>
      <c r="E294" s="95" t="inlineStr">
        <is>
          <t>2 face(s) at 1.0 mm</t>
        </is>
      </c>
      <c r="F294" s="95" t="n"/>
    </row>
    <row r="295">
      <c r="A295" s="95" t="inlineStr">
        <is>
          <t>LND-PLY-E2-9-MDF-V12</t>
        </is>
      </c>
      <c r="B295" s="93" t="inlineStr">
        <is>
          <t>Plywood E2 9 mm, Mindi double face (1.2 mm veneer)</t>
        </is>
      </c>
      <c r="C295" s="128">
        <f>C239+2*(C277-$C$175)</f>
        <v/>
      </c>
      <c r="D295" s="95" t="inlineStr">
        <is>
          <t>IDR/sheet</t>
        </is>
      </c>
      <c r="E295" s="95" t="inlineStr">
        <is>
          <t>2 face(s) at 1.2 mm</t>
        </is>
      </c>
      <c r="F295" s="95" t="n"/>
    </row>
    <row r="296">
      <c r="A296" s="95" t="inlineStr">
        <is>
          <t>LND-PLY-E2-6-MSF-V10</t>
        </is>
      </c>
      <c r="B296" s="93" t="inlineStr">
        <is>
          <t>Plywood E2 6 mm, Mindi single face (1.0 mm veneer)</t>
        </is>
      </c>
      <c r="C296" s="128">
        <f>C240+1*(C276-$C$175)</f>
        <v/>
      </c>
      <c r="D296" s="95" t="inlineStr">
        <is>
          <t>IDR/sheet</t>
        </is>
      </c>
      <c r="E296" s="95" t="inlineStr">
        <is>
          <t>1 face(s) at 1.0 mm</t>
        </is>
      </c>
      <c r="F296" s="95" t="n"/>
    </row>
    <row r="297">
      <c r="A297" s="95" t="inlineStr">
        <is>
          <t>LND-PLY-E2-6-MSF-V12</t>
        </is>
      </c>
      <c r="B297" s="93" t="inlineStr">
        <is>
          <t>Plywood E2 6 mm, Mindi single face (1.2 mm veneer)</t>
        </is>
      </c>
      <c r="C297" s="128">
        <f>C240+1*(C277-$C$175)</f>
        <v/>
      </c>
      <c r="D297" s="95" t="inlineStr">
        <is>
          <t>IDR/sheet</t>
        </is>
      </c>
      <c r="E297" s="95" t="inlineStr">
        <is>
          <t>1 face(s) at 1.2 mm</t>
        </is>
      </c>
      <c r="F297" s="95" t="n"/>
    </row>
    <row r="298">
      <c r="A298" s="95" t="inlineStr">
        <is>
          <t>LND-PLY-E2-6-MDF-V10</t>
        </is>
      </c>
      <c r="B298" s="93" t="inlineStr">
        <is>
          <t>Plywood E2 6 mm, Mindi double face (1.0 mm veneer)</t>
        </is>
      </c>
      <c r="C298" s="128">
        <f>C241+2*(C276-$C$175)</f>
        <v/>
      </c>
      <c r="D298" s="95" t="inlineStr">
        <is>
          <t>IDR/sheet</t>
        </is>
      </c>
      <c r="E298" s="95" t="inlineStr">
        <is>
          <t>2 face(s) at 1.0 mm</t>
        </is>
      </c>
      <c r="F298" s="95" t="n"/>
    </row>
    <row r="299">
      <c r="A299" s="95" t="inlineStr">
        <is>
          <t>LND-PLY-E2-6-MDF-V12</t>
        </is>
      </c>
      <c r="B299" s="93" t="inlineStr">
        <is>
          <t>Plywood E2 6 mm, Mindi double face (1.2 mm veneer)</t>
        </is>
      </c>
      <c r="C299" s="128">
        <f>C241+2*(C277-$C$175)</f>
        <v/>
      </c>
      <c r="D299" s="95" t="inlineStr">
        <is>
          <t>IDR/sheet</t>
        </is>
      </c>
      <c r="E299" s="95" t="inlineStr">
        <is>
          <t>2 face(s) at 1.2 mm</t>
        </is>
      </c>
      <c r="F299" s="95" t="n"/>
    </row>
    <row r="300">
      <c r="A300" s="95" t="inlineStr">
        <is>
          <t>LND-PLY-E2-3-MSF-V10</t>
        </is>
      </c>
      <c r="B300" s="93" t="inlineStr">
        <is>
          <t>Plywood E2 3 mm, Mindi single face (1.0 mm veneer)</t>
        </is>
      </c>
      <c r="C300" s="128">
        <f>C242+1*(C276-$C$175)</f>
        <v/>
      </c>
      <c r="D300" s="95" t="inlineStr">
        <is>
          <t>IDR/sheet</t>
        </is>
      </c>
      <c r="E300" s="95" t="inlineStr">
        <is>
          <t>1 face(s) at 1.0 mm</t>
        </is>
      </c>
      <c r="F300" s="95" t="n"/>
    </row>
    <row r="301">
      <c r="A301" s="95" t="inlineStr">
        <is>
          <t>LND-PLY-E2-3-MSF-V12</t>
        </is>
      </c>
      <c r="B301" s="93" t="inlineStr">
        <is>
          <t>Plywood E2 3 mm, Mindi single face (1.2 mm veneer)</t>
        </is>
      </c>
      <c r="C301" s="128">
        <f>C242+1*(C277-$C$175)</f>
        <v/>
      </c>
      <c r="D301" s="95" t="inlineStr">
        <is>
          <t>IDR/sheet</t>
        </is>
      </c>
      <c r="E301" s="95" t="inlineStr">
        <is>
          <t>1 face(s) at 1.2 mm</t>
        </is>
      </c>
      <c r="F301" s="95" t="n"/>
    </row>
    <row r="302">
      <c r="A302" s="95" t="inlineStr">
        <is>
          <t>LND-PLY-E2-3-MDF-V10</t>
        </is>
      </c>
      <c r="B302" s="93" t="inlineStr">
        <is>
          <t>Plywood E2 3 mm, Mindi double face (1.0 mm veneer)</t>
        </is>
      </c>
      <c r="C302" s="128">
        <f>C243+2*(C276-$C$175)</f>
        <v/>
      </c>
      <c r="D302" s="95" t="inlineStr">
        <is>
          <t>IDR/sheet</t>
        </is>
      </c>
      <c r="E302" s="95" t="inlineStr">
        <is>
          <t>2 face(s) at 1.0 mm</t>
        </is>
      </c>
      <c r="F302" s="95" t="n"/>
    </row>
    <row r="303">
      <c r="A303" s="95" t="inlineStr">
        <is>
          <t>LND-PLY-E2-3-MDF-V12</t>
        </is>
      </c>
      <c r="B303" s="93" t="inlineStr">
        <is>
          <t>Plywood E2 3 mm, Mindi double face (1.2 mm veneer)</t>
        </is>
      </c>
      <c r="C303" s="128">
        <f>C243+2*(C277-$C$175)</f>
        <v/>
      </c>
      <c r="D303" s="95" t="inlineStr">
        <is>
          <t>IDR/sheet</t>
        </is>
      </c>
      <c r="E303" s="95" t="inlineStr">
        <is>
          <t>2 face(s) at 1.2 mm</t>
        </is>
      </c>
      <c r="F303" s="95" t="n"/>
    </row>
    <row r="304">
      <c r="A304" s="95" t="inlineStr">
        <is>
          <t>LND-MDF-E2-18-MSF-V10</t>
        </is>
      </c>
      <c r="B304" s="93" t="inlineStr">
        <is>
          <t>MDF E2 18 mm, Mindi single face (1.0 mm veneer)</t>
        </is>
      </c>
      <c r="C304" s="128">
        <f>C244+1*(C276-$C$175)</f>
        <v/>
      </c>
      <c r="D304" s="95" t="inlineStr">
        <is>
          <t>IDR/sheet</t>
        </is>
      </c>
      <c r="E304" s="95" t="inlineStr">
        <is>
          <t>1 face(s) at 1.0 mm</t>
        </is>
      </c>
      <c r="F304" s="95" t="n"/>
    </row>
    <row r="305">
      <c r="A305" s="95" t="inlineStr">
        <is>
          <t>LND-MDF-E2-18-MSF-V12</t>
        </is>
      </c>
      <c r="B305" s="93" t="inlineStr">
        <is>
          <t>MDF E2 18 mm, Mindi single face (1.2 mm veneer)</t>
        </is>
      </c>
      <c r="C305" s="128">
        <f>C244+1*(C277-$C$175)</f>
        <v/>
      </c>
      <c r="D305" s="95" t="inlineStr">
        <is>
          <t>IDR/sheet</t>
        </is>
      </c>
      <c r="E305" s="95" t="inlineStr">
        <is>
          <t>1 face(s) at 1.2 mm</t>
        </is>
      </c>
      <c r="F305" s="95" t="n"/>
    </row>
    <row r="306">
      <c r="A306" s="95" t="inlineStr">
        <is>
          <t>LND-MDF-E2-18-MDF-V10</t>
        </is>
      </c>
      <c r="B306" s="93" t="inlineStr">
        <is>
          <t>MDF E2 18 mm, Mindi double face (1.0 mm veneer)</t>
        </is>
      </c>
      <c r="C306" s="128">
        <f>C245+2*(C276-$C$175)</f>
        <v/>
      </c>
      <c r="D306" s="95" t="inlineStr">
        <is>
          <t>IDR/sheet</t>
        </is>
      </c>
      <c r="E306" s="95" t="inlineStr">
        <is>
          <t>2 face(s) at 1.0 mm</t>
        </is>
      </c>
      <c r="F306" s="95" t="n"/>
    </row>
    <row r="307">
      <c r="A307" s="95" t="inlineStr">
        <is>
          <t>LND-MDF-E2-18-MDF-V12</t>
        </is>
      </c>
      <c r="B307" s="93" t="inlineStr">
        <is>
          <t>MDF E2 18 mm, Mindi double face (1.2 mm veneer)</t>
        </is>
      </c>
      <c r="C307" s="128">
        <f>C245+2*(C277-$C$175)</f>
        <v/>
      </c>
      <c r="D307" s="95" t="inlineStr">
        <is>
          <t>IDR/sheet</t>
        </is>
      </c>
      <c r="E307" s="95" t="inlineStr">
        <is>
          <t>2 face(s) at 1.2 mm</t>
        </is>
      </c>
      <c r="F307" s="95" t="n"/>
    </row>
    <row r="308">
      <c r="A308" s="95" t="inlineStr">
        <is>
          <t>LND-MDF-E2-15-MSF-V10</t>
        </is>
      </c>
      <c r="B308" s="93" t="inlineStr">
        <is>
          <t>MDF E2 15 mm, Mindi single face (1.0 mm veneer)</t>
        </is>
      </c>
      <c r="C308" s="128">
        <f>C246+1*(C276-$C$175)</f>
        <v/>
      </c>
      <c r="D308" s="95" t="inlineStr">
        <is>
          <t>IDR/sheet</t>
        </is>
      </c>
      <c r="E308" s="95" t="inlineStr">
        <is>
          <t>1 face(s) at 1.0 mm</t>
        </is>
      </c>
      <c r="F308" s="95" t="n"/>
    </row>
    <row r="309">
      <c r="A309" s="95" t="inlineStr">
        <is>
          <t>LND-MDF-E2-15-MSF-V12</t>
        </is>
      </c>
      <c r="B309" s="93" t="inlineStr">
        <is>
          <t>MDF E2 15 mm, Mindi single face (1.2 mm veneer)</t>
        </is>
      </c>
      <c r="C309" s="128">
        <f>C246+1*(C277-$C$175)</f>
        <v/>
      </c>
      <c r="D309" s="95" t="inlineStr">
        <is>
          <t>IDR/sheet</t>
        </is>
      </c>
      <c r="E309" s="95" t="inlineStr">
        <is>
          <t>1 face(s) at 1.2 mm</t>
        </is>
      </c>
      <c r="F309" s="95" t="n"/>
    </row>
    <row r="310">
      <c r="A310" s="95" t="inlineStr">
        <is>
          <t>LND-MDF-E2-12-MSF-V10</t>
        </is>
      </c>
      <c r="B310" s="93" t="inlineStr">
        <is>
          <t>MDF E2 12 mm, Mindi single face (1.0 mm veneer)</t>
        </is>
      </c>
      <c r="C310" s="128">
        <f>C247+1*(C276-$C$175)</f>
        <v/>
      </c>
      <c r="D310" s="95" t="inlineStr">
        <is>
          <t>IDR/sheet</t>
        </is>
      </c>
      <c r="E310" s="95" t="inlineStr">
        <is>
          <t>1 face(s) at 1.0 mm</t>
        </is>
      </c>
      <c r="F310" s="95" t="n"/>
    </row>
    <row r="311">
      <c r="A311" s="95" t="inlineStr">
        <is>
          <t>LND-MDF-E2-12-MSF-V12</t>
        </is>
      </c>
      <c r="B311" s="93" t="inlineStr">
        <is>
          <t>MDF E2 12 mm, Mindi single face (1.2 mm veneer)</t>
        </is>
      </c>
      <c r="C311" s="128">
        <f>C247+1*(C277-$C$175)</f>
        <v/>
      </c>
      <c r="D311" s="95" t="inlineStr">
        <is>
          <t>IDR/sheet</t>
        </is>
      </c>
      <c r="E311" s="95" t="inlineStr">
        <is>
          <t>1 face(s) at 1.2 mm</t>
        </is>
      </c>
      <c r="F311" s="95" t="n"/>
    </row>
    <row r="312">
      <c r="A312" s="95" t="inlineStr">
        <is>
          <t>LND-MDF-E2-9-MSF-V10</t>
        </is>
      </c>
      <c r="B312" s="93" t="inlineStr">
        <is>
          <t>MDF E2 9 mm, Mindi single face (1.0 mm veneer)</t>
        </is>
      </c>
      <c r="C312" s="128">
        <f>C248+1*(C276-$C$175)</f>
        <v/>
      </c>
      <c r="D312" s="95" t="inlineStr">
        <is>
          <t>IDR/sheet</t>
        </is>
      </c>
      <c r="E312" s="95" t="inlineStr">
        <is>
          <t>1 face(s) at 1.0 mm</t>
        </is>
      </c>
      <c r="F312" s="95" t="n"/>
    </row>
    <row r="313">
      <c r="A313" s="95" t="inlineStr">
        <is>
          <t>LND-MDF-E2-9-MSF-V12</t>
        </is>
      </c>
      <c r="B313" s="93" t="inlineStr">
        <is>
          <t>MDF E2 9 mm, Mindi single face (1.2 mm veneer)</t>
        </is>
      </c>
      <c r="C313" s="128">
        <f>C248+1*(C277-$C$175)</f>
        <v/>
      </c>
      <c r="D313" s="95" t="inlineStr">
        <is>
          <t>IDR/sheet</t>
        </is>
      </c>
      <c r="E313" s="95" t="inlineStr">
        <is>
          <t>1 face(s) at 1.2 mm</t>
        </is>
      </c>
      <c r="F313" s="95" t="n"/>
    </row>
    <row r="314">
      <c r="A314" s="95" t="inlineStr">
        <is>
          <t>LND-MDF-E2-6-MSF-V10</t>
        </is>
      </c>
      <c r="B314" s="93" t="inlineStr">
        <is>
          <t>MDF E2 6 mm, Mindi single face (1.0 mm veneer)</t>
        </is>
      </c>
      <c r="C314" s="128">
        <f>C249+1*(C276-$C$175)</f>
        <v/>
      </c>
      <c r="D314" s="95" t="inlineStr">
        <is>
          <t>IDR/sheet</t>
        </is>
      </c>
      <c r="E314" s="95" t="inlineStr">
        <is>
          <t>1 face(s) at 1.0 mm</t>
        </is>
      </c>
      <c r="F314" s="95" t="n"/>
    </row>
    <row r="315">
      <c r="A315" s="95" t="inlineStr">
        <is>
          <t>LND-MDF-E2-6-MSF-V12</t>
        </is>
      </c>
      <c r="B315" s="93" t="inlineStr">
        <is>
          <t>MDF E2 6 mm, Mindi single face (1.2 mm veneer)</t>
        </is>
      </c>
      <c r="C315" s="128">
        <f>C249+1*(C277-$C$175)</f>
        <v/>
      </c>
      <c r="D315" s="95" t="inlineStr">
        <is>
          <t>IDR/sheet</t>
        </is>
      </c>
      <c r="E315" s="95" t="inlineStr">
        <is>
          <t>1 face(s) at 1.2 mm</t>
        </is>
      </c>
      <c r="F315" s="95" t="n"/>
    </row>
    <row r="317">
      <c r="A317" s="127" t="inlineStr">
        <is>
          <t>E0 BOARDS (rule 19 Oct 2026, meeting): ALL plywood and MDF use grade E0. Veneered E0 boards = raw E0 landed board + faces x veneer face cost (0.6 mm default; -V10 / -V12 for 1.0 / 1.2 mm).</t>
        </is>
      </c>
      <c r="B317" s="98" t="n"/>
      <c r="C317" s="98" t="n"/>
      <c r="D317" s="98" t="n"/>
      <c r="E317" s="98" t="n"/>
      <c r="F317" s="98" t="n"/>
    </row>
    <row r="318">
      <c r="A318" s="95" t="inlineStr">
        <is>
          <t>LND-PLY-E0-3-MSF</t>
        </is>
      </c>
      <c r="B318" s="93" t="inlineStr">
        <is>
          <t>Plywood E0 3 mm, Mindi single face</t>
        </is>
      </c>
      <c r="C318" s="128">
        <f>INDEX($C$178:$C$215,MATCH("LND-PLY-E0-3",$A$178:$A$215,0))+1*$C$175</f>
        <v/>
      </c>
      <c r="D318" s="95" t="inlineStr">
        <is>
          <t>IDR/sheet</t>
        </is>
      </c>
      <c r="E318" s="95" t="inlineStr">
        <is>
          <t>E0 raw landed + veneer face (0.6 mm)</t>
        </is>
      </c>
      <c r="F318" s="95" t="n"/>
    </row>
    <row r="319">
      <c r="A319" s="95" t="inlineStr">
        <is>
          <t>LND-PLY-E0-3-MSF-V10</t>
        </is>
      </c>
      <c r="B319" s="93" t="inlineStr">
        <is>
          <t>Plywood E0 3 mm, Mindi single face, 1.0 mm veneer</t>
        </is>
      </c>
      <c r="C319" s="128">
        <f>C318+1*(C276-$C$175)</f>
        <v/>
      </c>
      <c r="D319" s="95" t="inlineStr">
        <is>
          <t>IDR/sheet</t>
        </is>
      </c>
      <c r="E319" s="95" t="inlineStr">
        <is>
          <t>1 face(s) at 1.0 mm</t>
        </is>
      </c>
      <c r="F319" s="95" t="n"/>
    </row>
    <row r="320">
      <c r="A320" s="95" t="inlineStr">
        <is>
          <t>LND-PLY-E0-3-MSF-V12</t>
        </is>
      </c>
      <c r="B320" s="93" t="inlineStr">
        <is>
          <t>Plywood E0 3 mm, Mindi single face, 1.2 mm veneer</t>
        </is>
      </c>
      <c r="C320" s="128">
        <f>C318+1*(C277-$C$175)</f>
        <v/>
      </c>
      <c r="D320" s="95" t="inlineStr">
        <is>
          <t>IDR/sheet</t>
        </is>
      </c>
      <c r="E320" s="95" t="inlineStr">
        <is>
          <t>1 face(s) at 1.2 mm</t>
        </is>
      </c>
      <c r="F320" s="95" t="n"/>
    </row>
    <row r="321">
      <c r="A321" s="95" t="inlineStr">
        <is>
          <t>LND-PLY-E0-3-MDF</t>
        </is>
      </c>
      <c r="B321" s="93" t="inlineStr">
        <is>
          <t>Plywood E0 3 mm, Mindi double face</t>
        </is>
      </c>
      <c r="C321" s="128">
        <f>INDEX($C$178:$C$215,MATCH("LND-PLY-E0-3",$A$178:$A$215,0))+2*$C$175</f>
        <v/>
      </c>
      <c r="D321" s="95" t="inlineStr">
        <is>
          <t>IDR/sheet</t>
        </is>
      </c>
      <c r="E321" s="95" t="inlineStr">
        <is>
          <t>E0 raw landed + veneer face (0.6 mm)</t>
        </is>
      </c>
      <c r="F321" s="95" t="n"/>
    </row>
    <row r="322">
      <c r="A322" s="95" t="inlineStr">
        <is>
          <t>LND-PLY-E0-3-MDF-V10</t>
        </is>
      </c>
      <c r="B322" s="93" t="inlineStr">
        <is>
          <t>Plywood E0 3 mm, Mindi double face, 1.0 mm veneer</t>
        </is>
      </c>
      <c r="C322" s="128">
        <f>C321+2*(C276-$C$175)</f>
        <v/>
      </c>
      <c r="D322" s="95" t="inlineStr">
        <is>
          <t>IDR/sheet</t>
        </is>
      </c>
      <c r="E322" s="95" t="inlineStr">
        <is>
          <t>2 face(s) at 1.0 mm</t>
        </is>
      </c>
      <c r="F322" s="95" t="n"/>
    </row>
    <row r="323">
      <c r="A323" s="95" t="inlineStr">
        <is>
          <t>LND-PLY-E0-3-MDF-V12</t>
        </is>
      </c>
      <c r="B323" s="93" t="inlineStr">
        <is>
          <t>Plywood E0 3 mm, Mindi double face, 1.2 mm veneer</t>
        </is>
      </c>
      <c r="C323" s="128">
        <f>C321+2*(C277-$C$175)</f>
        <v/>
      </c>
      <c r="D323" s="95" t="inlineStr">
        <is>
          <t>IDR/sheet</t>
        </is>
      </c>
      <c r="E323" s="95" t="inlineStr">
        <is>
          <t>2 face(s) at 1.2 mm</t>
        </is>
      </c>
      <c r="F323" s="95" t="n"/>
    </row>
    <row r="324">
      <c r="A324" s="95" t="inlineStr">
        <is>
          <t>LND-PLY-E0-6-MSF</t>
        </is>
      </c>
      <c r="B324" s="93" t="inlineStr">
        <is>
          <t>Plywood E0 6 mm, Mindi single face</t>
        </is>
      </c>
      <c r="C324" s="128">
        <f>INDEX($C$178:$C$215,MATCH("LND-PLY-E0-6",$A$178:$A$215,0))+1*$C$175</f>
        <v/>
      </c>
      <c r="D324" s="95" t="inlineStr">
        <is>
          <t>IDR/sheet</t>
        </is>
      </c>
      <c r="E324" s="95" t="inlineStr">
        <is>
          <t>E0 raw landed + veneer face (0.6 mm)</t>
        </is>
      </c>
      <c r="F324" s="95" t="n"/>
    </row>
    <row r="325">
      <c r="A325" s="95" t="inlineStr">
        <is>
          <t>LND-PLY-E0-6-MSF-V10</t>
        </is>
      </c>
      <c r="B325" s="93" t="inlineStr">
        <is>
          <t>Plywood E0 6 mm, Mindi single face, 1.0 mm veneer</t>
        </is>
      </c>
      <c r="C325" s="128">
        <f>C324+1*(C276-$C$175)</f>
        <v/>
      </c>
      <c r="D325" s="95" t="inlineStr">
        <is>
          <t>IDR/sheet</t>
        </is>
      </c>
      <c r="E325" s="95" t="inlineStr">
        <is>
          <t>1 face(s) at 1.0 mm</t>
        </is>
      </c>
      <c r="F325" s="95" t="n"/>
    </row>
    <row r="326">
      <c r="A326" s="95" t="inlineStr">
        <is>
          <t>LND-PLY-E0-6-MSF-V12</t>
        </is>
      </c>
      <c r="B326" s="93" t="inlineStr">
        <is>
          <t>Plywood E0 6 mm, Mindi single face, 1.2 mm veneer</t>
        </is>
      </c>
      <c r="C326" s="128">
        <f>C324+1*(C277-$C$175)</f>
        <v/>
      </c>
      <c r="D326" s="95" t="inlineStr">
        <is>
          <t>IDR/sheet</t>
        </is>
      </c>
      <c r="E326" s="95" t="inlineStr">
        <is>
          <t>1 face(s) at 1.2 mm</t>
        </is>
      </c>
      <c r="F326" s="95" t="n"/>
    </row>
    <row r="327">
      <c r="A327" s="95" t="inlineStr">
        <is>
          <t>LND-PLY-E0-6-MDF</t>
        </is>
      </c>
      <c r="B327" s="93" t="inlineStr">
        <is>
          <t>Plywood E0 6 mm, Mindi double face</t>
        </is>
      </c>
      <c r="C327" s="128">
        <f>INDEX($C$178:$C$215,MATCH("LND-PLY-E0-6",$A$178:$A$215,0))+2*$C$175</f>
        <v/>
      </c>
      <c r="D327" s="95" t="inlineStr">
        <is>
          <t>IDR/sheet</t>
        </is>
      </c>
      <c r="E327" s="95" t="inlineStr">
        <is>
          <t>E0 raw landed + veneer face (0.6 mm)</t>
        </is>
      </c>
      <c r="F327" s="95" t="n"/>
    </row>
    <row r="328">
      <c r="A328" s="95" t="inlineStr">
        <is>
          <t>LND-PLY-E0-6-MDF-V10</t>
        </is>
      </c>
      <c r="B328" s="93" t="inlineStr">
        <is>
          <t>Plywood E0 6 mm, Mindi double face, 1.0 mm veneer</t>
        </is>
      </c>
      <c r="C328" s="128">
        <f>C327+2*(C276-$C$175)</f>
        <v/>
      </c>
      <c r="D328" s="95" t="inlineStr">
        <is>
          <t>IDR/sheet</t>
        </is>
      </c>
      <c r="E328" s="95" t="inlineStr">
        <is>
          <t>2 face(s) at 1.0 mm</t>
        </is>
      </c>
      <c r="F328" s="95" t="n"/>
    </row>
    <row r="329">
      <c r="A329" s="95" t="inlineStr">
        <is>
          <t>LND-PLY-E0-6-MDF-V12</t>
        </is>
      </c>
      <c r="B329" s="93" t="inlineStr">
        <is>
          <t>Plywood E0 6 mm, Mindi double face, 1.2 mm veneer</t>
        </is>
      </c>
      <c r="C329" s="128">
        <f>C327+2*(C277-$C$175)</f>
        <v/>
      </c>
      <c r="D329" s="95" t="inlineStr">
        <is>
          <t>IDR/sheet</t>
        </is>
      </c>
      <c r="E329" s="95" t="inlineStr">
        <is>
          <t>2 face(s) at 1.2 mm</t>
        </is>
      </c>
      <c r="F329" s="95" t="n"/>
    </row>
    <row r="330">
      <c r="A330" s="95" t="inlineStr">
        <is>
          <t>LND-PLY-E0-9-MSF</t>
        </is>
      </c>
      <c r="B330" s="93" t="inlineStr">
        <is>
          <t>Plywood E0 9 mm, Mindi single face</t>
        </is>
      </c>
      <c r="C330" s="128">
        <f>INDEX($C$178:$C$215,MATCH("LND-PLY-E0-9",$A$178:$A$215,0))+1*$C$175</f>
        <v/>
      </c>
      <c r="D330" s="95" t="inlineStr">
        <is>
          <t>IDR/sheet</t>
        </is>
      </c>
      <c r="E330" s="95" t="inlineStr">
        <is>
          <t>E0 raw landed + veneer face (0.6 mm)</t>
        </is>
      </c>
      <c r="F330" s="95" t="n"/>
    </row>
    <row r="331">
      <c r="A331" s="95" t="inlineStr">
        <is>
          <t>LND-PLY-E0-9-MSF-V10</t>
        </is>
      </c>
      <c r="B331" s="93" t="inlineStr">
        <is>
          <t>Plywood E0 9 mm, Mindi single face, 1.0 mm veneer</t>
        </is>
      </c>
      <c r="C331" s="128">
        <f>C330+1*(C276-$C$175)</f>
        <v/>
      </c>
      <c r="D331" s="95" t="inlineStr">
        <is>
          <t>IDR/sheet</t>
        </is>
      </c>
      <c r="E331" s="95" t="inlineStr">
        <is>
          <t>1 face(s) at 1.0 mm</t>
        </is>
      </c>
      <c r="F331" s="95" t="n"/>
    </row>
    <row r="332">
      <c r="A332" s="95" t="inlineStr">
        <is>
          <t>LND-PLY-E0-9-MSF-V12</t>
        </is>
      </c>
      <c r="B332" s="93" t="inlineStr">
        <is>
          <t>Plywood E0 9 mm, Mindi single face, 1.2 mm veneer</t>
        </is>
      </c>
      <c r="C332" s="128">
        <f>C330+1*(C277-$C$175)</f>
        <v/>
      </c>
      <c r="D332" s="95" t="inlineStr">
        <is>
          <t>IDR/sheet</t>
        </is>
      </c>
      <c r="E332" s="95" t="inlineStr">
        <is>
          <t>1 face(s) at 1.2 mm</t>
        </is>
      </c>
      <c r="F332" s="95" t="n"/>
    </row>
    <row r="333">
      <c r="A333" s="95" t="inlineStr">
        <is>
          <t>LND-PLY-E0-9-MDF</t>
        </is>
      </c>
      <c r="B333" s="93" t="inlineStr">
        <is>
          <t>Plywood E0 9 mm, Mindi double face</t>
        </is>
      </c>
      <c r="C333" s="128">
        <f>INDEX($C$178:$C$215,MATCH("LND-PLY-E0-9",$A$178:$A$215,0))+2*$C$175</f>
        <v/>
      </c>
      <c r="D333" s="95" t="inlineStr">
        <is>
          <t>IDR/sheet</t>
        </is>
      </c>
      <c r="E333" s="95" t="inlineStr">
        <is>
          <t>E0 raw landed + veneer face (0.6 mm)</t>
        </is>
      </c>
      <c r="F333" s="95" t="n"/>
    </row>
    <row r="334">
      <c r="A334" s="95" t="inlineStr">
        <is>
          <t>LND-PLY-E0-9-MDF-V10</t>
        </is>
      </c>
      <c r="B334" s="93" t="inlineStr">
        <is>
          <t>Plywood E0 9 mm, Mindi double face, 1.0 mm veneer</t>
        </is>
      </c>
      <c r="C334" s="128">
        <f>C333+2*(C276-$C$175)</f>
        <v/>
      </c>
      <c r="D334" s="95" t="inlineStr">
        <is>
          <t>IDR/sheet</t>
        </is>
      </c>
      <c r="E334" s="95" t="inlineStr">
        <is>
          <t>2 face(s) at 1.0 mm</t>
        </is>
      </c>
      <c r="F334" s="95" t="n"/>
    </row>
    <row r="335">
      <c r="A335" s="95" t="inlineStr">
        <is>
          <t>LND-PLY-E0-9-MDF-V12</t>
        </is>
      </c>
      <c r="B335" s="93" t="inlineStr">
        <is>
          <t>Plywood E0 9 mm, Mindi double face, 1.2 mm veneer</t>
        </is>
      </c>
      <c r="C335" s="128">
        <f>C333+2*(C277-$C$175)</f>
        <v/>
      </c>
      <c r="D335" s="95" t="inlineStr">
        <is>
          <t>IDR/sheet</t>
        </is>
      </c>
      <c r="E335" s="95" t="inlineStr">
        <is>
          <t>2 face(s) at 1.2 mm</t>
        </is>
      </c>
      <c r="F335" s="95" t="n"/>
    </row>
    <row r="336">
      <c r="A336" s="95" t="inlineStr">
        <is>
          <t>LND-PLY-E0-12-MSF</t>
        </is>
      </c>
      <c r="B336" s="93" t="inlineStr">
        <is>
          <t>Plywood E0 12 mm, Mindi single face</t>
        </is>
      </c>
      <c r="C336" s="128">
        <f>INDEX($C$178:$C$215,MATCH("LND-PLY-E0-12",$A$178:$A$215,0))+1*$C$175</f>
        <v/>
      </c>
      <c r="D336" s="95" t="inlineStr">
        <is>
          <t>IDR/sheet</t>
        </is>
      </c>
      <c r="E336" s="95" t="inlineStr">
        <is>
          <t>E0 raw landed + veneer face (0.6 mm)</t>
        </is>
      </c>
      <c r="F336" s="95" t="n"/>
    </row>
    <row r="337">
      <c r="A337" s="95" t="inlineStr">
        <is>
          <t>LND-PLY-E0-12-MSF-V10</t>
        </is>
      </c>
      <c r="B337" s="93" t="inlineStr">
        <is>
          <t>Plywood E0 12 mm, Mindi single face, 1.0 mm veneer</t>
        </is>
      </c>
      <c r="C337" s="128">
        <f>C336+1*(C276-$C$175)</f>
        <v/>
      </c>
      <c r="D337" s="95" t="inlineStr">
        <is>
          <t>IDR/sheet</t>
        </is>
      </c>
      <c r="E337" s="95" t="inlineStr">
        <is>
          <t>1 face(s) at 1.0 mm</t>
        </is>
      </c>
      <c r="F337" s="95" t="n"/>
    </row>
    <row r="338">
      <c r="A338" s="95" t="inlineStr">
        <is>
          <t>LND-PLY-E0-12-MSF-V12</t>
        </is>
      </c>
      <c r="B338" s="93" t="inlineStr">
        <is>
          <t>Plywood E0 12 mm, Mindi single face, 1.2 mm veneer</t>
        </is>
      </c>
      <c r="C338" s="128">
        <f>C336+1*(C277-$C$175)</f>
        <v/>
      </c>
      <c r="D338" s="95" t="inlineStr">
        <is>
          <t>IDR/sheet</t>
        </is>
      </c>
      <c r="E338" s="95" t="inlineStr">
        <is>
          <t>1 face(s) at 1.2 mm</t>
        </is>
      </c>
      <c r="F338" s="95" t="n"/>
    </row>
    <row r="339">
      <c r="A339" s="95" t="inlineStr">
        <is>
          <t>LND-PLY-E0-12-MDF</t>
        </is>
      </c>
      <c r="B339" s="93" t="inlineStr">
        <is>
          <t>Plywood E0 12 mm, Mindi double face</t>
        </is>
      </c>
      <c r="C339" s="128">
        <f>INDEX($C$178:$C$215,MATCH("LND-PLY-E0-12",$A$178:$A$215,0))+2*$C$175</f>
        <v/>
      </c>
      <c r="D339" s="95" t="inlineStr">
        <is>
          <t>IDR/sheet</t>
        </is>
      </c>
      <c r="E339" s="95" t="inlineStr">
        <is>
          <t>E0 raw landed + veneer face (0.6 mm)</t>
        </is>
      </c>
      <c r="F339" s="95" t="n"/>
    </row>
    <row r="340">
      <c r="A340" s="95" t="inlineStr">
        <is>
          <t>LND-PLY-E0-12-MDF-V10</t>
        </is>
      </c>
      <c r="B340" s="93" t="inlineStr">
        <is>
          <t>Plywood E0 12 mm, Mindi double face, 1.0 mm veneer</t>
        </is>
      </c>
      <c r="C340" s="128">
        <f>C339+2*(C276-$C$175)</f>
        <v/>
      </c>
      <c r="D340" s="95" t="inlineStr">
        <is>
          <t>IDR/sheet</t>
        </is>
      </c>
      <c r="E340" s="95" t="inlineStr">
        <is>
          <t>2 face(s) at 1.0 mm</t>
        </is>
      </c>
      <c r="F340" s="95" t="n"/>
    </row>
    <row r="341">
      <c r="A341" s="95" t="inlineStr">
        <is>
          <t>LND-PLY-E0-12-MDF-V12</t>
        </is>
      </c>
      <c r="B341" s="93" t="inlineStr">
        <is>
          <t>Plywood E0 12 mm, Mindi double face, 1.2 mm veneer</t>
        </is>
      </c>
      <c r="C341" s="128">
        <f>C339+2*(C277-$C$175)</f>
        <v/>
      </c>
      <c r="D341" s="95" t="inlineStr">
        <is>
          <t>IDR/sheet</t>
        </is>
      </c>
      <c r="E341" s="95" t="inlineStr">
        <is>
          <t>2 face(s) at 1.2 mm</t>
        </is>
      </c>
      <c r="F341" s="95" t="n"/>
    </row>
    <row r="342">
      <c r="A342" s="95" t="inlineStr">
        <is>
          <t>LND-PLY-E0-15-MSF</t>
        </is>
      </c>
      <c r="B342" s="93" t="inlineStr">
        <is>
          <t>Plywood E0 15 mm, Mindi single face</t>
        </is>
      </c>
      <c r="C342" s="128">
        <f>INDEX($C$178:$C$215,MATCH("LND-PLY-E0-15",$A$178:$A$215,0))+1*$C$175</f>
        <v/>
      </c>
      <c r="D342" s="95" t="inlineStr">
        <is>
          <t>IDR/sheet</t>
        </is>
      </c>
      <c r="E342" s="95" t="inlineStr">
        <is>
          <t>E0 raw landed + veneer face (0.6 mm)</t>
        </is>
      </c>
      <c r="F342" s="95" t="n"/>
    </row>
    <row r="343">
      <c r="A343" s="95" t="inlineStr">
        <is>
          <t>LND-PLY-E0-15-MSF-V10</t>
        </is>
      </c>
      <c r="B343" s="93" t="inlineStr">
        <is>
          <t>Plywood E0 15 mm, Mindi single face, 1.0 mm veneer</t>
        </is>
      </c>
      <c r="C343" s="128">
        <f>C342+1*(C276-$C$175)</f>
        <v/>
      </c>
      <c r="D343" s="95" t="inlineStr">
        <is>
          <t>IDR/sheet</t>
        </is>
      </c>
      <c r="E343" s="95" t="inlineStr">
        <is>
          <t>1 face(s) at 1.0 mm</t>
        </is>
      </c>
      <c r="F343" s="95" t="n"/>
    </row>
    <row r="344">
      <c r="A344" s="95" t="inlineStr">
        <is>
          <t>LND-PLY-E0-15-MSF-V12</t>
        </is>
      </c>
      <c r="B344" s="93" t="inlineStr">
        <is>
          <t>Plywood E0 15 mm, Mindi single face, 1.2 mm veneer</t>
        </is>
      </c>
      <c r="C344" s="128">
        <f>C342+1*(C277-$C$175)</f>
        <v/>
      </c>
      <c r="D344" s="95" t="inlineStr">
        <is>
          <t>IDR/sheet</t>
        </is>
      </c>
      <c r="E344" s="95" t="inlineStr">
        <is>
          <t>1 face(s) at 1.2 mm</t>
        </is>
      </c>
      <c r="F344" s="95" t="n"/>
    </row>
    <row r="345">
      <c r="A345" s="95" t="inlineStr">
        <is>
          <t>LND-PLY-E0-15-MDF</t>
        </is>
      </c>
      <c r="B345" s="93" t="inlineStr">
        <is>
          <t>Plywood E0 15 mm, Mindi double face</t>
        </is>
      </c>
      <c r="C345" s="128">
        <f>INDEX($C$178:$C$215,MATCH("LND-PLY-E0-15",$A$178:$A$215,0))+2*$C$175</f>
        <v/>
      </c>
      <c r="D345" s="95" t="inlineStr">
        <is>
          <t>IDR/sheet</t>
        </is>
      </c>
      <c r="E345" s="95" t="inlineStr">
        <is>
          <t>E0 raw landed + veneer face (0.6 mm)</t>
        </is>
      </c>
      <c r="F345" s="95" t="n"/>
    </row>
    <row r="346">
      <c r="A346" s="95" t="inlineStr">
        <is>
          <t>LND-PLY-E0-15-MDF-V10</t>
        </is>
      </c>
      <c r="B346" s="93" t="inlineStr">
        <is>
          <t>Plywood E0 15 mm, Mindi double face, 1.0 mm veneer</t>
        </is>
      </c>
      <c r="C346" s="128">
        <f>C345+2*(C276-$C$175)</f>
        <v/>
      </c>
      <c r="D346" s="95" t="inlineStr">
        <is>
          <t>IDR/sheet</t>
        </is>
      </c>
      <c r="E346" s="95" t="inlineStr">
        <is>
          <t>2 face(s) at 1.0 mm</t>
        </is>
      </c>
      <c r="F346" s="95" t="n"/>
    </row>
    <row r="347">
      <c r="A347" s="95" t="inlineStr">
        <is>
          <t>LND-PLY-E0-15-MDF-V12</t>
        </is>
      </c>
      <c r="B347" s="93" t="inlineStr">
        <is>
          <t>Plywood E0 15 mm, Mindi double face, 1.2 mm veneer</t>
        </is>
      </c>
      <c r="C347" s="128">
        <f>C345+2*(C277-$C$175)</f>
        <v/>
      </c>
      <c r="D347" s="95" t="inlineStr">
        <is>
          <t>IDR/sheet</t>
        </is>
      </c>
      <c r="E347" s="95" t="inlineStr">
        <is>
          <t>2 face(s) at 1.2 mm</t>
        </is>
      </c>
      <c r="F347" s="95" t="n"/>
    </row>
    <row r="348">
      <c r="A348" s="95" t="inlineStr">
        <is>
          <t>LND-PLY-E0-18-MSF</t>
        </is>
      </c>
      <c r="B348" s="93" t="inlineStr">
        <is>
          <t>Plywood E0 18 mm, Mindi single face</t>
        </is>
      </c>
      <c r="C348" s="128">
        <f>INDEX($C$178:$C$215,MATCH("LND-PLY-E0-18",$A$178:$A$215,0))+1*$C$175</f>
        <v/>
      </c>
      <c r="D348" s="95" t="inlineStr">
        <is>
          <t>IDR/sheet</t>
        </is>
      </c>
      <c r="E348" s="95" t="inlineStr">
        <is>
          <t>E0 raw landed + veneer face (0.6 mm)</t>
        </is>
      </c>
      <c r="F348" s="95" t="n"/>
    </row>
    <row r="349">
      <c r="A349" s="95" t="inlineStr">
        <is>
          <t>LND-PLY-E0-18-MSF-V10</t>
        </is>
      </c>
      <c r="B349" s="93" t="inlineStr">
        <is>
          <t>Plywood E0 18 mm, Mindi single face, 1.0 mm veneer</t>
        </is>
      </c>
      <c r="C349" s="128">
        <f>C348+1*(C276-$C$175)</f>
        <v/>
      </c>
      <c r="D349" s="95" t="inlineStr">
        <is>
          <t>IDR/sheet</t>
        </is>
      </c>
      <c r="E349" s="95" t="inlineStr">
        <is>
          <t>1 face(s) at 1.0 mm</t>
        </is>
      </c>
      <c r="F349" s="95" t="n"/>
    </row>
    <row r="350">
      <c r="A350" s="95" t="inlineStr">
        <is>
          <t>LND-PLY-E0-18-MSF-V12</t>
        </is>
      </c>
      <c r="B350" s="93" t="inlineStr">
        <is>
          <t>Plywood E0 18 mm, Mindi single face, 1.2 mm veneer</t>
        </is>
      </c>
      <c r="C350" s="128">
        <f>C348+1*(C277-$C$175)</f>
        <v/>
      </c>
      <c r="D350" s="95" t="inlineStr">
        <is>
          <t>IDR/sheet</t>
        </is>
      </c>
      <c r="E350" s="95" t="inlineStr">
        <is>
          <t>1 face(s) at 1.2 mm</t>
        </is>
      </c>
      <c r="F350" s="95" t="n"/>
    </row>
    <row r="351">
      <c r="A351" s="95" t="inlineStr">
        <is>
          <t>LND-PLY-E0-18-MDF</t>
        </is>
      </c>
      <c r="B351" s="93" t="inlineStr">
        <is>
          <t>Plywood E0 18 mm, Mindi double face</t>
        </is>
      </c>
      <c r="C351" s="128">
        <f>INDEX($C$178:$C$215,MATCH("LND-PLY-E0-18",$A$178:$A$215,0))+2*$C$175</f>
        <v/>
      </c>
      <c r="D351" s="95" t="inlineStr">
        <is>
          <t>IDR/sheet</t>
        </is>
      </c>
      <c r="E351" s="95" t="inlineStr">
        <is>
          <t>E0 raw landed + veneer face (0.6 mm)</t>
        </is>
      </c>
      <c r="F351" s="95" t="n"/>
    </row>
    <row r="352">
      <c r="A352" s="95" t="inlineStr">
        <is>
          <t>LND-PLY-E0-18-MDF-V10</t>
        </is>
      </c>
      <c r="B352" s="93" t="inlineStr">
        <is>
          <t>Plywood E0 18 mm, Mindi double face, 1.0 mm veneer</t>
        </is>
      </c>
      <c r="C352" s="128">
        <f>C351+2*(C276-$C$175)</f>
        <v/>
      </c>
      <c r="D352" s="95" t="inlineStr">
        <is>
          <t>IDR/sheet</t>
        </is>
      </c>
      <c r="E352" s="95" t="inlineStr">
        <is>
          <t>2 face(s) at 1.0 mm</t>
        </is>
      </c>
      <c r="F352" s="95" t="n"/>
    </row>
    <row r="353">
      <c r="A353" s="95" t="inlineStr">
        <is>
          <t>LND-PLY-E0-18-MDF-V12</t>
        </is>
      </c>
      <c r="B353" s="93" t="inlineStr">
        <is>
          <t>Plywood E0 18 mm, Mindi double face, 1.2 mm veneer</t>
        </is>
      </c>
      <c r="C353" s="128">
        <f>C351+2*(C277-$C$175)</f>
        <v/>
      </c>
      <c r="D353" s="95" t="inlineStr">
        <is>
          <t>IDR/sheet</t>
        </is>
      </c>
      <c r="E353" s="95" t="inlineStr">
        <is>
          <t>2 face(s) at 1.2 mm</t>
        </is>
      </c>
      <c r="F353" s="95" t="n"/>
    </row>
    <row r="354">
      <c r="A354" s="95" t="inlineStr">
        <is>
          <t>LND-MDF-E0-3-MSF</t>
        </is>
      </c>
      <c r="B354" s="93" t="inlineStr">
        <is>
          <t>MDF E0 3 mm, Mindi single face</t>
        </is>
      </c>
      <c r="C354" s="128">
        <f>INDEX($C$178:$C$215,MATCH("LND-MDF-E0-3",$A$178:$A$215,0))+1*$C$175</f>
        <v/>
      </c>
      <c r="D354" s="95" t="inlineStr">
        <is>
          <t>IDR/sheet</t>
        </is>
      </c>
      <c r="E354" s="95" t="inlineStr">
        <is>
          <t>E0 raw landed + veneer face (0.6 mm)</t>
        </is>
      </c>
      <c r="F354" s="95" t="n"/>
    </row>
    <row r="355">
      <c r="A355" s="95" t="inlineStr">
        <is>
          <t>LND-MDF-E0-3-MSF-V10</t>
        </is>
      </c>
      <c r="B355" s="93" t="inlineStr">
        <is>
          <t>MDF E0 3 mm, Mindi single face, 1.0 mm veneer</t>
        </is>
      </c>
      <c r="C355" s="128">
        <f>C354+1*(C276-$C$175)</f>
        <v/>
      </c>
      <c r="D355" s="95" t="inlineStr">
        <is>
          <t>IDR/sheet</t>
        </is>
      </c>
      <c r="E355" s="95" t="inlineStr">
        <is>
          <t>1 face(s) at 1.0 mm</t>
        </is>
      </c>
      <c r="F355" s="95" t="n"/>
    </row>
    <row r="356">
      <c r="A356" s="95" t="inlineStr">
        <is>
          <t>LND-MDF-E0-3-MSF-V12</t>
        </is>
      </c>
      <c r="B356" s="93" t="inlineStr">
        <is>
          <t>MDF E0 3 mm, Mindi single face, 1.2 mm veneer</t>
        </is>
      </c>
      <c r="C356" s="128">
        <f>C354+1*(C277-$C$175)</f>
        <v/>
      </c>
      <c r="D356" s="95" t="inlineStr">
        <is>
          <t>IDR/sheet</t>
        </is>
      </c>
      <c r="E356" s="95" t="inlineStr">
        <is>
          <t>1 face(s) at 1.2 mm</t>
        </is>
      </c>
      <c r="F356" s="95" t="n"/>
    </row>
    <row r="357">
      <c r="A357" s="95" t="inlineStr">
        <is>
          <t>LND-MDF-E0-3-MDF</t>
        </is>
      </c>
      <c r="B357" s="93" t="inlineStr">
        <is>
          <t>MDF E0 3 mm, Mindi double face</t>
        </is>
      </c>
      <c r="C357" s="128">
        <f>INDEX($C$178:$C$215,MATCH("LND-MDF-E0-3",$A$178:$A$215,0))+2*$C$175</f>
        <v/>
      </c>
      <c r="D357" s="95" t="inlineStr">
        <is>
          <t>IDR/sheet</t>
        </is>
      </c>
      <c r="E357" s="95" t="inlineStr">
        <is>
          <t>E0 raw landed + veneer face (0.6 mm)</t>
        </is>
      </c>
      <c r="F357" s="95" t="n"/>
    </row>
    <row r="358">
      <c r="A358" s="95" t="inlineStr">
        <is>
          <t>LND-MDF-E0-3-MDF-V10</t>
        </is>
      </c>
      <c r="B358" s="93" t="inlineStr">
        <is>
          <t>MDF E0 3 mm, Mindi double face, 1.0 mm veneer</t>
        </is>
      </c>
      <c r="C358" s="128">
        <f>C357+2*(C276-$C$175)</f>
        <v/>
      </c>
      <c r="D358" s="95" t="inlineStr">
        <is>
          <t>IDR/sheet</t>
        </is>
      </c>
      <c r="E358" s="95" t="inlineStr">
        <is>
          <t>2 face(s) at 1.0 mm</t>
        </is>
      </c>
      <c r="F358" s="95" t="n"/>
    </row>
    <row r="359">
      <c r="A359" s="95" t="inlineStr">
        <is>
          <t>LND-MDF-E0-3-MDF-V12</t>
        </is>
      </c>
      <c r="B359" s="93" t="inlineStr">
        <is>
          <t>MDF E0 3 mm, Mindi double face, 1.2 mm veneer</t>
        </is>
      </c>
      <c r="C359" s="128">
        <f>C357+2*(C277-$C$175)</f>
        <v/>
      </c>
      <c r="D359" s="95" t="inlineStr">
        <is>
          <t>IDR/sheet</t>
        </is>
      </c>
      <c r="E359" s="95" t="inlineStr">
        <is>
          <t>2 face(s) at 1.2 mm</t>
        </is>
      </c>
      <c r="F359" s="95" t="n"/>
    </row>
    <row r="360">
      <c r="A360" s="95" t="inlineStr">
        <is>
          <t>LND-MDF-E0-6-MSF</t>
        </is>
      </c>
      <c r="B360" s="93" t="inlineStr">
        <is>
          <t>MDF E0 6 mm, Mindi single face</t>
        </is>
      </c>
      <c r="C360" s="128">
        <f>INDEX($C$178:$C$215,MATCH("LND-MDF-E0-6",$A$178:$A$215,0))+1*$C$175</f>
        <v/>
      </c>
      <c r="D360" s="95" t="inlineStr">
        <is>
          <t>IDR/sheet</t>
        </is>
      </c>
      <c r="E360" s="95" t="inlineStr">
        <is>
          <t>E0 raw landed + veneer face (0.6 mm)</t>
        </is>
      </c>
      <c r="F360" s="95" t="n"/>
    </row>
    <row r="361">
      <c r="A361" s="95" t="inlineStr">
        <is>
          <t>LND-MDF-E0-6-MSF-V10</t>
        </is>
      </c>
      <c r="B361" s="93" t="inlineStr">
        <is>
          <t>MDF E0 6 mm, Mindi single face, 1.0 mm veneer</t>
        </is>
      </c>
      <c r="C361" s="128">
        <f>C360+1*(C276-$C$175)</f>
        <v/>
      </c>
      <c r="D361" s="95" t="inlineStr">
        <is>
          <t>IDR/sheet</t>
        </is>
      </c>
      <c r="E361" s="95" t="inlineStr">
        <is>
          <t>1 face(s) at 1.0 mm</t>
        </is>
      </c>
      <c r="F361" s="95" t="n"/>
    </row>
    <row r="362">
      <c r="A362" s="95" t="inlineStr">
        <is>
          <t>LND-MDF-E0-6-MSF-V12</t>
        </is>
      </c>
      <c r="B362" s="93" t="inlineStr">
        <is>
          <t>MDF E0 6 mm, Mindi single face, 1.2 mm veneer</t>
        </is>
      </c>
      <c r="C362" s="128">
        <f>C360+1*(C277-$C$175)</f>
        <v/>
      </c>
      <c r="D362" s="95" t="inlineStr">
        <is>
          <t>IDR/sheet</t>
        </is>
      </c>
      <c r="E362" s="95" t="inlineStr">
        <is>
          <t>1 face(s) at 1.2 mm</t>
        </is>
      </c>
      <c r="F362" s="95" t="n"/>
    </row>
    <row r="363">
      <c r="A363" s="95" t="inlineStr">
        <is>
          <t>LND-MDF-E0-6-MDF</t>
        </is>
      </c>
      <c r="B363" s="93" t="inlineStr">
        <is>
          <t>MDF E0 6 mm, Mindi double face</t>
        </is>
      </c>
      <c r="C363" s="128">
        <f>INDEX($C$178:$C$215,MATCH("LND-MDF-E0-6",$A$178:$A$215,0))+2*$C$175</f>
        <v/>
      </c>
      <c r="D363" s="95" t="inlineStr">
        <is>
          <t>IDR/sheet</t>
        </is>
      </c>
      <c r="E363" s="95" t="inlineStr">
        <is>
          <t>E0 raw landed + veneer face (0.6 mm)</t>
        </is>
      </c>
      <c r="F363" s="95" t="n"/>
    </row>
    <row r="364">
      <c r="A364" s="95" t="inlineStr">
        <is>
          <t>LND-MDF-E0-6-MDF-V10</t>
        </is>
      </c>
      <c r="B364" s="93" t="inlineStr">
        <is>
          <t>MDF E0 6 mm, Mindi double face, 1.0 mm veneer</t>
        </is>
      </c>
      <c r="C364" s="128">
        <f>C363+2*(C276-$C$175)</f>
        <v/>
      </c>
      <c r="D364" s="95" t="inlineStr">
        <is>
          <t>IDR/sheet</t>
        </is>
      </c>
      <c r="E364" s="95" t="inlineStr">
        <is>
          <t>2 face(s) at 1.0 mm</t>
        </is>
      </c>
      <c r="F364" s="95" t="n"/>
    </row>
    <row r="365">
      <c r="A365" s="95" t="inlineStr">
        <is>
          <t>LND-MDF-E0-6-MDF-V12</t>
        </is>
      </c>
      <c r="B365" s="93" t="inlineStr">
        <is>
          <t>MDF E0 6 mm, Mindi double face, 1.2 mm veneer</t>
        </is>
      </c>
      <c r="C365" s="128">
        <f>C363+2*(C277-$C$175)</f>
        <v/>
      </c>
      <c r="D365" s="95" t="inlineStr">
        <is>
          <t>IDR/sheet</t>
        </is>
      </c>
      <c r="E365" s="95" t="inlineStr">
        <is>
          <t>2 face(s) at 1.2 mm</t>
        </is>
      </c>
      <c r="F365" s="95" t="n"/>
    </row>
    <row r="366">
      <c r="A366" s="95" t="inlineStr">
        <is>
          <t>LND-MDF-E0-9-MSF</t>
        </is>
      </c>
      <c r="B366" s="93" t="inlineStr">
        <is>
          <t>MDF E0 9 mm, Mindi single face</t>
        </is>
      </c>
      <c r="C366" s="128">
        <f>INDEX($C$178:$C$215,MATCH("LND-MDF-E0-9",$A$178:$A$215,0))+1*$C$175</f>
        <v/>
      </c>
      <c r="D366" s="95" t="inlineStr">
        <is>
          <t>IDR/sheet</t>
        </is>
      </c>
      <c r="E366" s="95" t="inlineStr">
        <is>
          <t>E0 raw landed + veneer face (0.6 mm)</t>
        </is>
      </c>
      <c r="F366" s="95" t="n"/>
    </row>
    <row r="367">
      <c r="A367" s="95" t="inlineStr">
        <is>
          <t>LND-MDF-E0-9-MSF-V10</t>
        </is>
      </c>
      <c r="B367" s="93" t="inlineStr">
        <is>
          <t>MDF E0 9 mm, Mindi single face, 1.0 mm veneer</t>
        </is>
      </c>
      <c r="C367" s="128">
        <f>C366+1*(C276-$C$175)</f>
        <v/>
      </c>
      <c r="D367" s="95" t="inlineStr">
        <is>
          <t>IDR/sheet</t>
        </is>
      </c>
      <c r="E367" s="95" t="inlineStr">
        <is>
          <t>1 face(s) at 1.0 mm</t>
        </is>
      </c>
      <c r="F367" s="95" t="n"/>
    </row>
    <row r="368">
      <c r="A368" s="95" t="inlineStr">
        <is>
          <t>LND-MDF-E0-9-MSF-V12</t>
        </is>
      </c>
      <c r="B368" s="93" t="inlineStr">
        <is>
          <t>MDF E0 9 mm, Mindi single face, 1.2 mm veneer</t>
        </is>
      </c>
      <c r="C368" s="128">
        <f>C366+1*(C277-$C$175)</f>
        <v/>
      </c>
      <c r="D368" s="95" t="inlineStr">
        <is>
          <t>IDR/sheet</t>
        </is>
      </c>
      <c r="E368" s="95" t="inlineStr">
        <is>
          <t>1 face(s) at 1.2 mm</t>
        </is>
      </c>
      <c r="F368" s="95" t="n"/>
    </row>
    <row r="369">
      <c r="A369" s="95" t="inlineStr">
        <is>
          <t>LND-MDF-E0-9-MDF</t>
        </is>
      </c>
      <c r="B369" s="93" t="inlineStr">
        <is>
          <t>MDF E0 9 mm, Mindi double face</t>
        </is>
      </c>
      <c r="C369" s="128">
        <f>INDEX($C$178:$C$215,MATCH("LND-MDF-E0-9",$A$178:$A$215,0))+2*$C$175</f>
        <v/>
      </c>
      <c r="D369" s="95" t="inlineStr">
        <is>
          <t>IDR/sheet</t>
        </is>
      </c>
      <c r="E369" s="95" t="inlineStr">
        <is>
          <t>E0 raw landed + veneer face (0.6 mm)</t>
        </is>
      </c>
      <c r="F369" s="95" t="n"/>
    </row>
    <row r="370">
      <c r="A370" s="95" t="inlineStr">
        <is>
          <t>LND-MDF-E0-9-MDF-V10</t>
        </is>
      </c>
      <c r="B370" s="93" t="inlineStr">
        <is>
          <t>MDF E0 9 mm, Mindi double face, 1.0 mm veneer</t>
        </is>
      </c>
      <c r="C370" s="128">
        <f>C369+2*(C276-$C$175)</f>
        <v/>
      </c>
      <c r="D370" s="95" t="inlineStr">
        <is>
          <t>IDR/sheet</t>
        </is>
      </c>
      <c r="E370" s="95" t="inlineStr">
        <is>
          <t>2 face(s) at 1.0 mm</t>
        </is>
      </c>
      <c r="F370" s="95" t="n"/>
    </row>
    <row r="371">
      <c r="A371" s="95" t="inlineStr">
        <is>
          <t>LND-MDF-E0-9-MDF-V12</t>
        </is>
      </c>
      <c r="B371" s="93" t="inlineStr">
        <is>
          <t>MDF E0 9 mm, Mindi double face, 1.2 mm veneer</t>
        </is>
      </c>
      <c r="C371" s="128">
        <f>C369+2*(C277-$C$175)</f>
        <v/>
      </c>
      <c r="D371" s="95" t="inlineStr">
        <is>
          <t>IDR/sheet</t>
        </is>
      </c>
      <c r="E371" s="95" t="inlineStr">
        <is>
          <t>2 face(s) at 1.2 mm</t>
        </is>
      </c>
      <c r="F371" s="95" t="n"/>
    </row>
    <row r="372">
      <c r="A372" s="95" t="inlineStr">
        <is>
          <t>LND-MDF-E0-12-MSF</t>
        </is>
      </c>
      <c r="B372" s="93" t="inlineStr">
        <is>
          <t>MDF E0 12 mm, Mindi single face</t>
        </is>
      </c>
      <c r="C372" s="128">
        <f>INDEX($C$178:$C$215,MATCH("LND-MDF-E0-12",$A$178:$A$215,0))+1*$C$175</f>
        <v/>
      </c>
      <c r="D372" s="95" t="inlineStr">
        <is>
          <t>IDR/sheet</t>
        </is>
      </c>
      <c r="E372" s="95" t="inlineStr">
        <is>
          <t>E0 raw landed + veneer face (0.6 mm)</t>
        </is>
      </c>
      <c r="F372" s="95" t="n"/>
    </row>
    <row r="373">
      <c r="A373" s="95" t="inlineStr">
        <is>
          <t>LND-MDF-E0-12-MSF-V10</t>
        </is>
      </c>
      <c r="B373" s="93" t="inlineStr">
        <is>
          <t>MDF E0 12 mm, Mindi single face, 1.0 mm veneer</t>
        </is>
      </c>
      <c r="C373" s="128">
        <f>C372+1*(C276-$C$175)</f>
        <v/>
      </c>
      <c r="D373" s="95" t="inlineStr">
        <is>
          <t>IDR/sheet</t>
        </is>
      </c>
      <c r="E373" s="95" t="inlineStr">
        <is>
          <t>1 face(s) at 1.0 mm</t>
        </is>
      </c>
      <c r="F373" s="95" t="n"/>
    </row>
    <row r="374">
      <c r="A374" s="95" t="inlineStr">
        <is>
          <t>LND-MDF-E0-12-MSF-V12</t>
        </is>
      </c>
      <c r="B374" s="93" t="inlineStr">
        <is>
          <t>MDF E0 12 mm, Mindi single face, 1.2 mm veneer</t>
        </is>
      </c>
      <c r="C374" s="128">
        <f>C372+1*(C277-$C$175)</f>
        <v/>
      </c>
      <c r="D374" s="95" t="inlineStr">
        <is>
          <t>IDR/sheet</t>
        </is>
      </c>
      <c r="E374" s="95" t="inlineStr">
        <is>
          <t>1 face(s) at 1.2 mm</t>
        </is>
      </c>
      <c r="F374" s="95" t="n"/>
    </row>
    <row r="375">
      <c r="A375" s="95" t="inlineStr">
        <is>
          <t>LND-MDF-E0-12-MDF</t>
        </is>
      </c>
      <c r="B375" s="93" t="inlineStr">
        <is>
          <t>MDF E0 12 mm, Mindi double face</t>
        </is>
      </c>
      <c r="C375" s="128">
        <f>INDEX($C$178:$C$215,MATCH("LND-MDF-E0-12",$A$178:$A$215,0))+2*$C$175</f>
        <v/>
      </c>
      <c r="D375" s="95" t="inlineStr">
        <is>
          <t>IDR/sheet</t>
        </is>
      </c>
      <c r="E375" s="95" t="inlineStr">
        <is>
          <t>E0 raw landed + veneer face (0.6 mm)</t>
        </is>
      </c>
      <c r="F375" s="95" t="n"/>
    </row>
    <row r="376">
      <c r="A376" s="95" t="inlineStr">
        <is>
          <t>LND-MDF-E0-12-MDF-V10</t>
        </is>
      </c>
      <c r="B376" s="93" t="inlineStr">
        <is>
          <t>MDF E0 12 mm, Mindi double face, 1.0 mm veneer</t>
        </is>
      </c>
      <c r="C376" s="128">
        <f>C375+2*(C276-$C$175)</f>
        <v/>
      </c>
      <c r="D376" s="95" t="inlineStr">
        <is>
          <t>IDR/sheet</t>
        </is>
      </c>
      <c r="E376" s="95" t="inlineStr">
        <is>
          <t>2 face(s) at 1.0 mm</t>
        </is>
      </c>
      <c r="F376" s="95" t="n"/>
    </row>
    <row r="377">
      <c r="A377" s="95" t="inlineStr">
        <is>
          <t>LND-MDF-E0-12-MDF-V12</t>
        </is>
      </c>
      <c r="B377" s="93" t="inlineStr">
        <is>
          <t>MDF E0 12 mm, Mindi double face, 1.2 mm veneer</t>
        </is>
      </c>
      <c r="C377" s="128">
        <f>C375+2*(C277-$C$175)</f>
        <v/>
      </c>
      <c r="D377" s="95" t="inlineStr">
        <is>
          <t>IDR/sheet</t>
        </is>
      </c>
      <c r="E377" s="95" t="inlineStr">
        <is>
          <t>2 face(s) at 1.2 mm</t>
        </is>
      </c>
      <c r="F377" s="95" t="n"/>
    </row>
    <row r="378">
      <c r="A378" s="95" t="inlineStr">
        <is>
          <t>LND-MDF-E0-15-MSF</t>
        </is>
      </c>
      <c r="B378" s="93" t="inlineStr">
        <is>
          <t>MDF E0 15 mm, Mindi single face</t>
        </is>
      </c>
      <c r="C378" s="128">
        <f>INDEX($C$178:$C$215,MATCH("LND-MDF-E0-15",$A$178:$A$215,0))+1*$C$175</f>
        <v/>
      </c>
      <c r="D378" s="95" t="inlineStr">
        <is>
          <t>IDR/sheet</t>
        </is>
      </c>
      <c r="E378" s="95" t="inlineStr">
        <is>
          <t>E0 raw landed + veneer face (0.6 mm)</t>
        </is>
      </c>
      <c r="F378" s="95" t="n"/>
    </row>
    <row r="379">
      <c r="A379" s="95" t="inlineStr">
        <is>
          <t>LND-MDF-E0-15-MSF-V10</t>
        </is>
      </c>
      <c r="B379" s="93" t="inlineStr">
        <is>
          <t>MDF E0 15 mm, Mindi single face, 1.0 mm veneer</t>
        </is>
      </c>
      <c r="C379" s="128">
        <f>C378+1*(C276-$C$175)</f>
        <v/>
      </c>
      <c r="D379" s="95" t="inlineStr">
        <is>
          <t>IDR/sheet</t>
        </is>
      </c>
      <c r="E379" s="95" t="inlineStr">
        <is>
          <t>1 face(s) at 1.0 mm</t>
        </is>
      </c>
      <c r="F379" s="95" t="n"/>
    </row>
    <row r="380">
      <c r="A380" s="95" t="inlineStr">
        <is>
          <t>LND-MDF-E0-15-MSF-V12</t>
        </is>
      </c>
      <c r="B380" s="93" t="inlineStr">
        <is>
          <t>MDF E0 15 mm, Mindi single face, 1.2 mm veneer</t>
        </is>
      </c>
      <c r="C380" s="128">
        <f>C378+1*(C277-$C$175)</f>
        <v/>
      </c>
      <c r="D380" s="95" t="inlineStr">
        <is>
          <t>IDR/sheet</t>
        </is>
      </c>
      <c r="E380" s="95" t="inlineStr">
        <is>
          <t>1 face(s) at 1.2 mm</t>
        </is>
      </c>
      <c r="F380" s="95" t="n"/>
    </row>
    <row r="381">
      <c r="A381" s="95" t="inlineStr">
        <is>
          <t>LND-MDF-E0-15-MDF</t>
        </is>
      </c>
      <c r="B381" s="93" t="inlineStr">
        <is>
          <t>MDF E0 15 mm, Mindi double face</t>
        </is>
      </c>
      <c r="C381" s="128">
        <f>INDEX($C$178:$C$215,MATCH("LND-MDF-E0-15",$A$178:$A$215,0))+2*$C$175</f>
        <v/>
      </c>
      <c r="D381" s="95" t="inlineStr">
        <is>
          <t>IDR/sheet</t>
        </is>
      </c>
      <c r="E381" s="95" t="inlineStr">
        <is>
          <t>E0 raw landed + veneer face (0.6 mm)</t>
        </is>
      </c>
      <c r="F381" s="95" t="n"/>
    </row>
    <row r="382">
      <c r="A382" s="95" t="inlineStr">
        <is>
          <t>LND-MDF-E0-15-MDF-V10</t>
        </is>
      </c>
      <c r="B382" s="93" t="inlineStr">
        <is>
          <t>MDF E0 15 mm, Mindi double face, 1.0 mm veneer</t>
        </is>
      </c>
      <c r="C382" s="128">
        <f>C381+2*(C276-$C$175)</f>
        <v/>
      </c>
      <c r="D382" s="95" t="inlineStr">
        <is>
          <t>IDR/sheet</t>
        </is>
      </c>
      <c r="E382" s="95" t="inlineStr">
        <is>
          <t>2 face(s) at 1.0 mm</t>
        </is>
      </c>
      <c r="F382" s="95" t="n"/>
    </row>
    <row r="383">
      <c r="A383" s="95" t="inlineStr">
        <is>
          <t>LND-MDF-E0-15-MDF-V12</t>
        </is>
      </c>
      <c r="B383" s="93" t="inlineStr">
        <is>
          <t>MDF E0 15 mm, Mindi double face, 1.2 mm veneer</t>
        </is>
      </c>
      <c r="C383" s="128">
        <f>C381+2*(C277-$C$175)</f>
        <v/>
      </c>
      <c r="D383" s="95" t="inlineStr">
        <is>
          <t>IDR/sheet</t>
        </is>
      </c>
      <c r="E383" s="95" t="inlineStr">
        <is>
          <t>2 face(s) at 1.2 mm</t>
        </is>
      </c>
      <c r="F383" s="95" t="n"/>
    </row>
    <row r="384">
      <c r="A384" s="95" t="inlineStr">
        <is>
          <t>LND-MDF-E0-18-MSF</t>
        </is>
      </c>
      <c r="B384" s="93" t="inlineStr">
        <is>
          <t>MDF E0 18 mm, Mindi single face</t>
        </is>
      </c>
      <c r="C384" s="128">
        <f>INDEX($C$178:$C$215,MATCH("LND-MDF-E0-18",$A$178:$A$215,0))+1*$C$175</f>
        <v/>
      </c>
      <c r="D384" s="95" t="inlineStr">
        <is>
          <t>IDR/sheet</t>
        </is>
      </c>
      <c r="E384" s="95" t="inlineStr">
        <is>
          <t>E0 raw landed + veneer face (0.6 mm)</t>
        </is>
      </c>
      <c r="F384" s="95" t="n"/>
    </row>
    <row r="385">
      <c r="A385" s="95" t="inlineStr">
        <is>
          <t>LND-MDF-E0-18-MSF-V10</t>
        </is>
      </c>
      <c r="B385" s="93" t="inlineStr">
        <is>
          <t>MDF E0 18 mm, Mindi single face, 1.0 mm veneer</t>
        </is>
      </c>
      <c r="C385" s="128">
        <f>C384+1*(C276-$C$175)</f>
        <v/>
      </c>
      <c r="D385" s="95" t="inlineStr">
        <is>
          <t>IDR/sheet</t>
        </is>
      </c>
      <c r="E385" s="95" t="inlineStr">
        <is>
          <t>1 face(s) at 1.0 mm</t>
        </is>
      </c>
      <c r="F385" s="95" t="n"/>
    </row>
    <row r="386">
      <c r="A386" s="95" t="inlineStr">
        <is>
          <t>LND-MDF-E0-18-MSF-V12</t>
        </is>
      </c>
      <c r="B386" s="93" t="inlineStr">
        <is>
          <t>MDF E0 18 mm, Mindi single face, 1.2 mm veneer</t>
        </is>
      </c>
      <c r="C386" s="128">
        <f>C384+1*(C277-$C$175)</f>
        <v/>
      </c>
      <c r="D386" s="95" t="inlineStr">
        <is>
          <t>IDR/sheet</t>
        </is>
      </c>
      <c r="E386" s="95" t="inlineStr">
        <is>
          <t>1 face(s) at 1.2 mm</t>
        </is>
      </c>
      <c r="F386" s="95" t="n"/>
    </row>
    <row r="387">
      <c r="A387" s="95" t="inlineStr">
        <is>
          <t>LND-MDF-E0-18-MDF</t>
        </is>
      </c>
      <c r="B387" s="93" t="inlineStr">
        <is>
          <t>MDF E0 18 mm, Mindi double face</t>
        </is>
      </c>
      <c r="C387" s="128">
        <f>INDEX($C$178:$C$215,MATCH("LND-MDF-E0-18",$A$178:$A$215,0))+2*$C$175</f>
        <v/>
      </c>
      <c r="D387" s="95" t="inlineStr">
        <is>
          <t>IDR/sheet</t>
        </is>
      </c>
      <c r="E387" s="95" t="inlineStr">
        <is>
          <t>E0 raw landed + veneer face (0.6 mm)</t>
        </is>
      </c>
      <c r="F387" s="95" t="n"/>
    </row>
    <row r="388">
      <c r="A388" s="95" t="inlineStr">
        <is>
          <t>LND-MDF-E0-18-MDF-V10</t>
        </is>
      </c>
      <c r="B388" s="93" t="inlineStr">
        <is>
          <t>MDF E0 18 mm, Mindi double face, 1.0 mm veneer</t>
        </is>
      </c>
      <c r="C388" s="128">
        <f>C387+2*(C276-$C$175)</f>
        <v/>
      </c>
      <c r="D388" s="95" t="inlineStr">
        <is>
          <t>IDR/sheet</t>
        </is>
      </c>
      <c r="E388" s="95" t="inlineStr">
        <is>
          <t>2 face(s) at 1.0 mm</t>
        </is>
      </c>
      <c r="F388" s="95" t="n"/>
    </row>
    <row r="389">
      <c r="A389" s="95" t="inlineStr">
        <is>
          <t>LND-MDF-E0-18-MDF-V12</t>
        </is>
      </c>
      <c r="B389" s="93" t="inlineStr">
        <is>
          <t>MDF E0 18 mm, Mindi double face, 1.2 mm veneer</t>
        </is>
      </c>
      <c r="C389" s="128">
        <f>C387+2*(C277-$C$175)</f>
        <v/>
      </c>
      <c r="D389" s="95" t="inlineStr">
        <is>
          <t>IDR/sheet</t>
        </is>
      </c>
      <c r="E389" s="95" t="inlineStr">
        <is>
          <t>2 face(s) at 1.2 mm</t>
        </is>
      </c>
      <c r="F389" s="95" t="n"/>
    </row>
    <row r="391">
      <c r="A391" s="127" t="inlineStr">
        <is>
          <t>STEEL HOLLOW SECTION, BLACK (added 19 Oct 2026). Source: smsperkasa.com/produk/besi-hollow-hitam, file data_harga_besi_hollow. 6 m bars [STD, NB]. Value (col C) = IDR per metre = bar price / bar length. Blue = base figures you can edit (bar price, weight).</t>
        </is>
      </c>
      <c r="B391" s="98" t="n"/>
      <c r="C391" s="98" t="n"/>
      <c r="D391" s="98" t="n"/>
      <c r="E391" s="98" t="n"/>
      <c r="F391" s="98" t="n"/>
    </row>
    <row r="392">
      <c r="A392" s="99" t="inlineStr">
        <is>
          <t>code</t>
        </is>
      </c>
      <c r="B392" s="99" t="inlineStr">
        <is>
          <t>Description</t>
        </is>
      </c>
      <c r="C392" s="100" t="inlineStr">
        <is>
          <t>Value</t>
        </is>
      </c>
      <c r="D392" s="101" t="inlineStr">
        <is>
          <t>Unit</t>
        </is>
      </c>
      <c r="E392" s="99" t="inlineStr">
        <is>
          <t>Source</t>
        </is>
      </c>
      <c r="F392" s="99" t="inlineStr">
        <is>
          <t>Weight kg / bar</t>
        </is>
      </c>
      <c r="G392" s="99" t="inlineStr">
        <is>
          <t>Price IDR / bar</t>
        </is>
      </c>
      <c r="H392" s="99" t="inlineStr">
        <is>
          <t>IDR / kg (calc)</t>
        </is>
      </c>
      <c r="I392" s="99" t="inlineStr">
        <is>
          <t>Check (price/weight order)</t>
        </is>
      </c>
    </row>
    <row r="393">
      <c r="A393" s="113" t="inlineStr">
        <is>
          <t>HOLLOW_BAR_M</t>
        </is>
      </c>
      <c r="B393" s="117" t="inlineStr">
        <is>
          <t>Bar length of all hollow sections in this list</t>
        </is>
      </c>
      <c r="C393" s="129" t="n">
        <v>6</v>
      </c>
      <c r="D393" s="113" t="inlineStr">
        <is>
          <t>m</t>
        </is>
      </c>
      <c r="E393" s="113" t="inlineStr">
        <is>
          <t>Supplier list: x 6M</t>
        </is>
      </c>
    </row>
    <row r="394">
      <c r="A394" s="113" t="inlineStr">
        <is>
          <t>HOLLOW-15x15x1.5</t>
        </is>
      </c>
      <c r="B394" s="117" t="inlineStr">
        <is>
          <t>Black hollow section 15 x 15 mm, wall 1.5 mm</t>
        </is>
      </c>
      <c r="C394" s="114">
        <f>G394/$C$393</f>
        <v/>
      </c>
      <c r="D394" s="113" t="inlineStr">
        <is>
          <t>IDR/m</t>
        </is>
      </c>
      <c r="E394" s="113" t="inlineStr">
        <is>
          <t>smsperkasa.com, price per 6 m bar</t>
        </is>
      </c>
      <c r="F394" s="130" t="n">
        <v>4.24</v>
      </c>
      <c r="G394" s="131" t="n">
        <v>50300</v>
      </c>
      <c r="H394" s="132">
        <f>G394/F394</f>
        <v/>
      </c>
    </row>
    <row r="395">
      <c r="A395" s="113" t="inlineStr">
        <is>
          <t>HOLLOW-16x16x1.5</t>
        </is>
      </c>
      <c r="B395" s="117" t="inlineStr">
        <is>
          <t>Black hollow section 16 x 16 mm, wall 1.5 mm</t>
        </is>
      </c>
      <c r="C395" s="114">
        <f>G395/$C$393</f>
        <v/>
      </c>
      <c r="D395" s="113" t="inlineStr">
        <is>
          <t>IDR/m</t>
        </is>
      </c>
      <c r="E395" s="113" t="inlineStr">
        <is>
          <t>smsperkasa.com, price per 6 m bar</t>
        </is>
      </c>
      <c r="F395" s="130" t="n">
        <v>4.52</v>
      </c>
      <c r="G395" s="131" t="n">
        <v>57400</v>
      </c>
      <c r="H395" s="132">
        <f>G395/F395</f>
        <v/>
      </c>
    </row>
    <row r="396">
      <c r="A396" s="113" t="inlineStr">
        <is>
          <t>HOLLOW-15x30x1.5</t>
        </is>
      </c>
      <c r="B396" s="117" t="inlineStr">
        <is>
          <t>Black hollow section 15 x 30 mm, wall 1.5 mm</t>
        </is>
      </c>
      <c r="C396" s="114">
        <f>G396/$C$393</f>
        <v/>
      </c>
      <c r="D396" s="113" t="inlineStr">
        <is>
          <t>IDR/m</t>
        </is>
      </c>
      <c r="E396" s="113" t="inlineStr">
        <is>
          <t>smsperkasa.com, price per 6 m bar</t>
        </is>
      </c>
      <c r="F396" s="130" t="n">
        <v>6.36</v>
      </c>
      <c r="G396" s="131" t="n">
        <v>77100</v>
      </c>
      <c r="H396" s="132">
        <f>G396/F396</f>
        <v/>
      </c>
    </row>
    <row r="397">
      <c r="A397" s="113" t="inlineStr">
        <is>
          <t>HOLLOW-15x35x0.8</t>
        </is>
      </c>
      <c r="B397" s="117" t="inlineStr">
        <is>
          <t>Black hollow section 15 x 35 mm, wall 0.8 mm</t>
        </is>
      </c>
      <c r="C397" s="114">
        <f>G397/$C$393</f>
        <v/>
      </c>
      <c r="D397" s="113" t="inlineStr">
        <is>
          <t>IDR/m</t>
        </is>
      </c>
      <c r="E397" s="113" t="inlineStr">
        <is>
          <t>smsperkasa.com, price per 6 m bar</t>
        </is>
      </c>
      <c r="F397" s="130" t="n">
        <v>3.77</v>
      </c>
      <c r="G397" s="131" t="n">
        <v>53900</v>
      </c>
      <c r="H397" s="132">
        <f>G397/F397</f>
        <v/>
      </c>
    </row>
    <row r="398">
      <c r="A398" s="113" t="inlineStr">
        <is>
          <t>HOLLOW-15x35x1.5</t>
        </is>
      </c>
      <c r="B398" s="117" t="inlineStr">
        <is>
          <t>Black hollow section 15 x 35 mm, wall 1.5 mm</t>
        </is>
      </c>
      <c r="C398" s="114">
        <f>G398/$C$393</f>
        <v/>
      </c>
      <c r="D398" s="113" t="inlineStr">
        <is>
          <t>IDR/m</t>
        </is>
      </c>
      <c r="E398" s="113" t="inlineStr">
        <is>
          <t>smsperkasa.com, price per 6 m bar</t>
        </is>
      </c>
      <c r="F398" s="130" t="n">
        <v>7.07</v>
      </c>
      <c r="G398" s="131" t="n">
        <v>86000</v>
      </c>
      <c r="H398" s="132">
        <f>G398/F398</f>
        <v/>
      </c>
    </row>
    <row r="399">
      <c r="A399" s="113" t="inlineStr">
        <is>
          <t>HOLLOW-20x20x1.5</t>
        </is>
      </c>
      <c r="B399" s="117" t="inlineStr">
        <is>
          <t>Black hollow section 20 x 20 mm, wall 1.5 mm</t>
        </is>
      </c>
      <c r="C399" s="114">
        <f>G399/$C$393</f>
        <v/>
      </c>
      <c r="D399" s="113" t="inlineStr">
        <is>
          <t>IDR/m</t>
        </is>
      </c>
      <c r="E399" s="113" t="inlineStr">
        <is>
          <t>smsperkasa.com, price per 6 m bar</t>
        </is>
      </c>
      <c r="F399" s="130" t="n">
        <v>5.65</v>
      </c>
      <c r="G399" s="131" t="n">
        <v>68000</v>
      </c>
      <c r="H399" s="132">
        <f>G399/F399</f>
        <v/>
      </c>
    </row>
    <row r="400">
      <c r="A400" s="113" t="inlineStr">
        <is>
          <t>HOLLOW-20x40x1.5</t>
        </is>
      </c>
      <c r="B400" s="117" t="inlineStr">
        <is>
          <t>Black hollow section 20 x 40 mm, wall 1.5 mm</t>
        </is>
      </c>
      <c r="C400" s="114">
        <f>G400/$C$393</f>
        <v/>
      </c>
      <c r="D400" s="113" t="inlineStr">
        <is>
          <t>IDR/m</t>
        </is>
      </c>
      <c r="E400" s="113" t="inlineStr">
        <is>
          <t>smsperkasa.com, price per 6 m bar</t>
        </is>
      </c>
      <c r="F400" s="130" t="n">
        <v>8.48</v>
      </c>
      <c r="G400" s="131" t="n">
        <v>103800</v>
      </c>
      <c r="H400" s="132">
        <f>G400/F400</f>
        <v/>
      </c>
    </row>
    <row r="401">
      <c r="A401" s="113" t="inlineStr">
        <is>
          <t>HOLLOW-25x25x1.5</t>
        </is>
      </c>
      <c r="B401" s="117" t="inlineStr">
        <is>
          <t>Black hollow section 25 x 25 mm, wall 1.5 mm</t>
        </is>
      </c>
      <c r="C401" s="114">
        <f>G401/$C$393</f>
        <v/>
      </c>
      <c r="D401" s="113" t="inlineStr">
        <is>
          <t>IDR/m</t>
        </is>
      </c>
      <c r="E401" s="113" t="inlineStr">
        <is>
          <t>smsperkasa.com, price per 6 m bar</t>
        </is>
      </c>
      <c r="F401" s="130" t="n">
        <v>7.07</v>
      </c>
      <c r="G401" s="131" t="n">
        <v>87000</v>
      </c>
      <c r="H401" s="132">
        <f>G401/F401</f>
        <v/>
      </c>
    </row>
    <row r="402">
      <c r="A402" s="113" t="inlineStr">
        <is>
          <t>HOLLOW-25x50x1.5</t>
        </is>
      </c>
      <c r="B402" s="117" t="inlineStr">
        <is>
          <t>Black hollow section 25 x 50 mm, wall 1.5 mm</t>
        </is>
      </c>
      <c r="C402" s="114">
        <f>G402/$C$393</f>
        <v/>
      </c>
      <c r="D402" s="113" t="inlineStr">
        <is>
          <t>IDR/m</t>
        </is>
      </c>
      <c r="E402" s="113" t="inlineStr">
        <is>
          <t>smsperkasa.com, price per 6 m bar</t>
        </is>
      </c>
      <c r="F402" s="130" t="n">
        <v>10.6</v>
      </c>
      <c r="G402" s="131" t="n">
        <v>132200</v>
      </c>
      <c r="H402" s="132">
        <f>G402/F402</f>
        <v/>
      </c>
    </row>
    <row r="403">
      <c r="A403" s="113" t="inlineStr">
        <is>
          <t>HOLLOW-30x30x1.5</t>
        </is>
      </c>
      <c r="B403" s="117" t="inlineStr">
        <is>
          <t>Black hollow section 30 x 30 mm, wall 1.5 mm</t>
        </is>
      </c>
      <c r="C403" s="114">
        <f>G403/$C$393</f>
        <v/>
      </c>
      <c r="D403" s="113" t="inlineStr">
        <is>
          <t>IDR/m</t>
        </is>
      </c>
      <c r="E403" s="113" t="inlineStr">
        <is>
          <t>smsperkasa.com, price per 6 m bar</t>
        </is>
      </c>
      <c r="F403" s="130" t="n">
        <v>8.48</v>
      </c>
      <c r="G403" s="131" t="n">
        <v>105000</v>
      </c>
      <c r="H403" s="132">
        <f>G403/F403</f>
        <v/>
      </c>
    </row>
    <row r="404">
      <c r="A404" s="113" t="inlineStr">
        <is>
          <t>HOLLOW-30x60x0.8</t>
        </is>
      </c>
      <c r="B404" s="117" t="inlineStr">
        <is>
          <t>Black hollow section 30 x 60 mm, wall 0.8 mm</t>
        </is>
      </c>
      <c r="C404" s="114">
        <f>G404/$C$393</f>
        <v/>
      </c>
      <c r="D404" s="113" t="inlineStr">
        <is>
          <t>IDR/m</t>
        </is>
      </c>
      <c r="E404" s="113" t="inlineStr">
        <is>
          <t>smsperkasa.com, price per 6 m bar</t>
        </is>
      </c>
      <c r="F404" s="130" t="n">
        <v>6.78</v>
      </c>
      <c r="G404" s="131" t="n">
        <v>92200</v>
      </c>
      <c r="H404" s="132">
        <f>G404/F404</f>
        <v/>
      </c>
    </row>
    <row r="405">
      <c r="A405" s="113" t="inlineStr">
        <is>
          <t>HOLLOW-30x60x1.5</t>
        </is>
      </c>
      <c r="B405" s="117" t="inlineStr">
        <is>
          <t>Black hollow section 30 x 60 mm, wall 1.5 mm</t>
        </is>
      </c>
      <c r="C405" s="114">
        <f>G405/$C$393</f>
        <v/>
      </c>
      <c r="D405" s="113" t="inlineStr">
        <is>
          <t>IDR/m</t>
        </is>
      </c>
      <c r="E405" s="113" t="inlineStr">
        <is>
          <t>smsperkasa.com, price per 6 m bar</t>
        </is>
      </c>
      <c r="F405" s="130" t="n">
        <v>12.72</v>
      </c>
      <c r="G405" s="131" t="n">
        <v>159400</v>
      </c>
      <c r="H405" s="132">
        <f>G405/F405</f>
        <v/>
      </c>
    </row>
    <row r="406">
      <c r="A406" s="113" t="inlineStr">
        <is>
          <t>HOLLOW-35x35x1.5</t>
        </is>
      </c>
      <c r="B406" s="117" t="inlineStr">
        <is>
          <t>Black hollow section 35 x 35 mm, wall 1.5 mm</t>
        </is>
      </c>
      <c r="C406" s="114">
        <f>G406/$C$393</f>
        <v/>
      </c>
      <c r="D406" s="113" t="inlineStr">
        <is>
          <t>IDR/m</t>
        </is>
      </c>
      <c r="E406" s="113" t="inlineStr">
        <is>
          <t>smsperkasa.com, price per 6 m bar</t>
        </is>
      </c>
      <c r="F406" s="130" t="n">
        <v>9.890000000000001</v>
      </c>
      <c r="G406" s="131" t="n">
        <v>121800</v>
      </c>
      <c r="H406" s="132">
        <f>G406/F406</f>
        <v/>
      </c>
    </row>
    <row r="407">
      <c r="A407" s="113" t="inlineStr">
        <is>
          <t>HOLLOW-40x40x1.5</t>
        </is>
      </c>
      <c r="B407" s="117" t="inlineStr">
        <is>
          <t>Black hollow section 40 x 40 mm, wall 1.5 mm</t>
        </is>
      </c>
      <c r="C407" s="114">
        <f>G407/$C$393</f>
        <v/>
      </c>
      <c r="D407" s="113" t="inlineStr">
        <is>
          <t>IDR/m</t>
        </is>
      </c>
      <c r="E407" s="113" t="inlineStr">
        <is>
          <t>smsperkasa.com, price per 6 m bar</t>
        </is>
      </c>
      <c r="F407" s="130" t="n">
        <v>11.3</v>
      </c>
      <c r="G407" s="131" t="n">
        <v>141300</v>
      </c>
      <c r="H407" s="132">
        <f>G407/F407</f>
        <v/>
      </c>
    </row>
    <row r="408">
      <c r="A408" s="113" t="inlineStr">
        <is>
          <t>HOLLOW-40x60x1.5</t>
        </is>
      </c>
      <c r="B408" s="117" t="inlineStr">
        <is>
          <t>Black hollow section 40 x 60 mm, wall 1.5 mm</t>
        </is>
      </c>
      <c r="C408" s="114">
        <f>G408/$C$393</f>
        <v/>
      </c>
      <c r="D408" s="113" t="inlineStr">
        <is>
          <t>IDR/m</t>
        </is>
      </c>
      <c r="E408" s="113" t="inlineStr">
        <is>
          <t>smsperkasa.com, price per 6 m bar</t>
        </is>
      </c>
      <c r="F408" s="130" t="n">
        <v>14.13</v>
      </c>
      <c r="G408" s="131" t="n">
        <v>177400</v>
      </c>
      <c r="H408" s="132">
        <f>G408/F408</f>
        <v/>
      </c>
    </row>
    <row r="409">
      <c r="A409" s="113" t="inlineStr">
        <is>
          <t>HOLLOW-40x80x1.5</t>
        </is>
      </c>
      <c r="B409" s="117" t="inlineStr">
        <is>
          <t>Black hollow section 40 x 80 mm, wall 1.5 mm</t>
        </is>
      </c>
      <c r="C409" s="114">
        <f>G409/$C$393</f>
        <v/>
      </c>
      <c r="D409" s="113" t="inlineStr">
        <is>
          <t>IDR/m</t>
        </is>
      </c>
      <c r="E409" s="113" t="inlineStr">
        <is>
          <t>smsperkasa.com, price per 6 m bar</t>
        </is>
      </c>
      <c r="F409" s="130" t="n">
        <v>16.96</v>
      </c>
      <c r="G409" s="131" t="n">
        <v>213600</v>
      </c>
      <c r="H409" s="132">
        <f>G409/F409</f>
        <v/>
      </c>
    </row>
    <row r="410">
      <c r="A410" s="113" t="inlineStr">
        <is>
          <t>HOLLOW-45x45x1.5</t>
        </is>
      </c>
      <c r="B410" s="117" t="inlineStr">
        <is>
          <t>Black hollow section 45 x 45 mm, wall 1.5 mm</t>
        </is>
      </c>
      <c r="C410" s="114">
        <f>G410/$C$393</f>
        <v/>
      </c>
      <c r="D410" s="113" t="inlineStr">
        <is>
          <t>IDR/m</t>
        </is>
      </c>
      <c r="E410" s="113" t="inlineStr">
        <is>
          <t>smsperkasa.com, price per 6 m bar</t>
        </is>
      </c>
      <c r="F410" s="130" t="n">
        <v>12.72</v>
      </c>
      <c r="G410" s="131" t="n">
        <v>159400</v>
      </c>
      <c r="H410" s="132">
        <f>G410/F410</f>
        <v/>
      </c>
    </row>
    <row r="411">
      <c r="A411" s="113" t="inlineStr">
        <is>
          <t>HOLLOW-45x75x1.5</t>
        </is>
      </c>
      <c r="B411" s="117" t="inlineStr">
        <is>
          <t>Black hollow section 45 x 75 mm, wall 1.5 mm</t>
        </is>
      </c>
      <c r="C411" s="114">
        <f>G411/$C$393</f>
        <v/>
      </c>
      <c r="D411" s="113" t="inlineStr">
        <is>
          <t>IDR/m</t>
        </is>
      </c>
      <c r="E411" s="113" t="inlineStr">
        <is>
          <t>smsperkasa.com, price per 6 m bar</t>
        </is>
      </c>
      <c r="F411" s="130" t="n">
        <v>16.96</v>
      </c>
      <c r="G411" s="131" t="n">
        <v>213600</v>
      </c>
      <c r="H411" s="132">
        <f>G411/F411</f>
        <v/>
      </c>
    </row>
    <row r="412">
      <c r="A412" s="113" t="inlineStr">
        <is>
          <t>HOLLOW-50x50x1.5</t>
        </is>
      </c>
      <c r="B412" s="117" t="inlineStr">
        <is>
          <t>Black hollow section 50 x 50 mm, wall 1.5 mm</t>
        </is>
      </c>
      <c r="C412" s="114">
        <f>G412/$C$393</f>
        <v/>
      </c>
      <c r="D412" s="113" t="inlineStr">
        <is>
          <t>IDR/m</t>
        </is>
      </c>
      <c r="E412" s="113" t="inlineStr">
        <is>
          <t>smsperkasa.com, price per 6 m bar</t>
        </is>
      </c>
      <c r="F412" s="130" t="n">
        <v>14.13</v>
      </c>
      <c r="G412" s="131" t="n">
        <v>177400</v>
      </c>
      <c r="H412" s="132">
        <f>G412/F412</f>
        <v/>
      </c>
    </row>
    <row r="413">
      <c r="A413" s="113" t="inlineStr">
        <is>
          <t>HOLLOW-50x100x1.5</t>
        </is>
      </c>
      <c r="B413" s="117" t="inlineStr">
        <is>
          <t>Black hollow section 50 x 100 mm, wall 1.5 mm</t>
        </is>
      </c>
      <c r="C413" s="114">
        <f>G413/$C$393</f>
        <v/>
      </c>
      <c r="D413" s="113" t="inlineStr">
        <is>
          <t>IDR/m</t>
        </is>
      </c>
      <c r="E413" s="113" t="inlineStr">
        <is>
          <t>smsperkasa.com, price per 6 m bar</t>
        </is>
      </c>
      <c r="F413" s="130" t="n">
        <v>21.2</v>
      </c>
      <c r="G413" s="131" t="n">
        <v>267900</v>
      </c>
      <c r="H413" s="132">
        <f>G413/F413</f>
        <v/>
      </c>
    </row>
    <row r="414">
      <c r="A414" s="113" t="inlineStr">
        <is>
          <t>HOLLOW-60x60x1.5</t>
        </is>
      </c>
      <c r="B414" s="117" t="inlineStr">
        <is>
          <t>Black hollow section 60 x 60 mm, wall 1.5 mm</t>
        </is>
      </c>
      <c r="C414" s="114">
        <f>G414/$C$393</f>
        <v/>
      </c>
      <c r="D414" s="113" t="inlineStr">
        <is>
          <t>IDR/m</t>
        </is>
      </c>
      <c r="E414" s="113" t="inlineStr">
        <is>
          <t>smsperkasa.com, price per 6 m bar</t>
        </is>
      </c>
      <c r="F414" s="130" t="n">
        <v>16.96</v>
      </c>
      <c r="G414" s="131" t="n">
        <v>213600</v>
      </c>
      <c r="H414" s="132">
        <f>G414/F414</f>
        <v/>
      </c>
    </row>
    <row r="415">
      <c r="A415" s="113" t="inlineStr">
        <is>
          <t>HOLLOW-75x75x1.5</t>
        </is>
      </c>
      <c r="B415" s="117" t="inlineStr">
        <is>
          <t>Black hollow section 75 x 75 mm, wall 1.5 mm</t>
        </is>
      </c>
      <c r="C415" s="114">
        <f>G415/$C$393</f>
        <v/>
      </c>
      <c r="D415" s="113" t="inlineStr">
        <is>
          <t>IDR/m</t>
        </is>
      </c>
      <c r="E415" s="113" t="inlineStr">
        <is>
          <t>smsperkasa.com, price per 6 m bar</t>
        </is>
      </c>
      <c r="F415" s="130" t="n">
        <v>21.2</v>
      </c>
      <c r="G415" s="131" t="n">
        <v>267900</v>
      </c>
      <c r="H415" s="132">
        <f>G415/F415</f>
        <v/>
      </c>
    </row>
    <row r="416">
      <c r="A416" s="113" t="inlineStr">
        <is>
          <t>HOLLOW-80x80x10</t>
        </is>
      </c>
      <c r="B416" s="117" t="inlineStr">
        <is>
          <t>Black hollow section 80 x 80 mm, wall 10 mm</t>
        </is>
      </c>
      <c r="C416" s="114">
        <f>G416/$C$393</f>
        <v/>
      </c>
      <c r="D416" s="113" t="inlineStr">
        <is>
          <t>IDR/m</t>
        </is>
      </c>
      <c r="E416" s="113" t="inlineStr">
        <is>
          <t>smsperkasa.com, price per 6 m bar</t>
        </is>
      </c>
      <c r="F416" s="130" t="n">
        <v>150.72</v>
      </c>
      <c r="G416" s="131" t="n">
        <v>5727400</v>
      </c>
      <c r="H416" s="132">
        <f>G416/F416</f>
        <v/>
      </c>
    </row>
    <row r="417">
      <c r="A417" s="113" t="inlineStr">
        <is>
          <t>HOLLOW-100x100x1.5</t>
        </is>
      </c>
      <c r="B417" s="117" t="inlineStr">
        <is>
          <t>Black hollow section 100 x 100 mm, wall 1.5 mm</t>
        </is>
      </c>
      <c r="C417" s="114">
        <f>G417/$C$393</f>
        <v/>
      </c>
      <c r="D417" s="113" t="inlineStr">
        <is>
          <t>IDR/m</t>
        </is>
      </c>
      <c r="E417" s="113" t="inlineStr">
        <is>
          <t>smsperkasa.com, price per 6 m bar</t>
        </is>
      </c>
      <c r="F417" s="130" t="n">
        <v>28.26</v>
      </c>
      <c r="G417" s="131" t="n">
        <v>495300</v>
      </c>
      <c r="H417" s="132">
        <f>G417/F417</f>
        <v/>
      </c>
    </row>
    <row r="418">
      <c r="A418" s="113" t="inlineStr">
        <is>
          <t>HOLLOW-15x15x0.8</t>
        </is>
      </c>
      <c r="B418" s="117" t="inlineStr">
        <is>
          <t>Black hollow section 15 x 15 mm, wall 0.8 mm</t>
        </is>
      </c>
      <c r="C418" s="114">
        <f>G418/$C$393</f>
        <v/>
      </c>
      <c r="D418" s="113" t="inlineStr">
        <is>
          <t>IDR/m</t>
        </is>
      </c>
      <c r="E418" s="113" t="inlineStr">
        <is>
          <t>smsperkasa.com, price per 6 m bar</t>
        </is>
      </c>
      <c r="F418" s="130" t="n">
        <v>2.26</v>
      </c>
      <c r="G418" s="131" t="n">
        <v>29500</v>
      </c>
      <c r="H418" s="132">
        <f>G418/F418</f>
        <v/>
      </c>
    </row>
    <row r="419">
      <c r="A419" s="113" t="inlineStr">
        <is>
          <t>HOLLOW-15x15x1</t>
        </is>
      </c>
      <c r="B419" s="117" t="inlineStr">
        <is>
          <t>Black hollow section 15 x 15 mm, wall 1 mm</t>
        </is>
      </c>
      <c r="C419" s="114">
        <f>G419/$C$393</f>
        <v/>
      </c>
      <c r="D419" s="113" t="inlineStr">
        <is>
          <t>IDR/m</t>
        </is>
      </c>
      <c r="E419" s="113" t="inlineStr">
        <is>
          <t>smsperkasa.com, price per 6 m bar</t>
        </is>
      </c>
      <c r="F419" s="130" t="n">
        <v>2.83</v>
      </c>
      <c r="G419" s="131" t="n">
        <v>37700</v>
      </c>
      <c r="H419" s="132">
        <f>G419/F419</f>
        <v/>
      </c>
    </row>
    <row r="420">
      <c r="A420" s="113" t="inlineStr">
        <is>
          <t>HOLLOW-15x15x1.2</t>
        </is>
      </c>
      <c r="B420" s="117" t="inlineStr">
        <is>
          <t>Black hollow section 15 x 15 mm, wall 1.2 mm</t>
        </is>
      </c>
      <c r="C420" s="114">
        <f>G420/$C$393</f>
        <v/>
      </c>
      <c r="D420" s="113" t="inlineStr">
        <is>
          <t>IDR/m</t>
        </is>
      </c>
      <c r="E420" s="113" t="inlineStr">
        <is>
          <t>smsperkasa.com, price per 6 m bar</t>
        </is>
      </c>
      <c r="F420" s="130" t="n">
        <v>3.39</v>
      </c>
      <c r="G420" s="131" t="n">
        <v>44400</v>
      </c>
      <c r="H420" s="132">
        <f>G420/F420</f>
        <v/>
      </c>
    </row>
    <row r="421">
      <c r="A421" s="113" t="inlineStr">
        <is>
          <t>HOLLOW-15x30x0.8</t>
        </is>
      </c>
      <c r="B421" s="117" t="inlineStr">
        <is>
          <t>Black hollow section 15 x 30 mm, wall 0.8 mm</t>
        </is>
      </c>
      <c r="C421" s="114">
        <f>G421/$C$393</f>
        <v/>
      </c>
      <c r="D421" s="113" t="inlineStr">
        <is>
          <t>IDR/m</t>
        </is>
      </c>
      <c r="E421" s="113" t="inlineStr">
        <is>
          <t>smsperkasa.com, price per 6 m bar</t>
        </is>
      </c>
      <c r="F421" s="130" t="n">
        <v>3.39</v>
      </c>
      <c r="G421" s="131" t="n">
        <v>45300</v>
      </c>
      <c r="H421" s="132">
        <f>G421/F421</f>
        <v/>
      </c>
    </row>
    <row r="422">
      <c r="A422" s="113" t="inlineStr">
        <is>
          <t>HOLLOW-15x30x1</t>
        </is>
      </c>
      <c r="B422" s="117" t="inlineStr">
        <is>
          <t>Black hollow section 15 x 30 mm, wall 1 mm</t>
        </is>
      </c>
      <c r="C422" s="114">
        <f>G422/$C$393</f>
        <v/>
      </c>
      <c r="D422" s="113" t="inlineStr">
        <is>
          <t>IDR/m</t>
        </is>
      </c>
      <c r="E422" s="113" t="inlineStr">
        <is>
          <t>smsperkasa.com, price per 6 m bar</t>
        </is>
      </c>
      <c r="F422" s="130" t="n">
        <v>4.24</v>
      </c>
      <c r="G422" s="131" t="n">
        <v>58100</v>
      </c>
      <c r="H422" s="132">
        <f>G422/F422</f>
        <v/>
      </c>
    </row>
    <row r="423">
      <c r="A423" s="113" t="inlineStr">
        <is>
          <t>HOLLOW-15x30x1.2</t>
        </is>
      </c>
      <c r="B423" s="117" t="inlineStr">
        <is>
          <t>Black hollow section 15 x 30 mm, wall 1.2 mm</t>
        </is>
      </c>
      <c r="C423" s="114">
        <f>G423/$C$393</f>
        <v/>
      </c>
      <c r="D423" s="113" t="inlineStr">
        <is>
          <t>IDR/m</t>
        </is>
      </c>
      <c r="E423" s="113" t="inlineStr">
        <is>
          <t>smsperkasa.com, price per 6 m bar</t>
        </is>
      </c>
      <c r="F423" s="130" t="n">
        <v>5.09</v>
      </c>
      <c r="G423" s="131" t="n">
        <v>68300</v>
      </c>
      <c r="H423" s="132">
        <f>G423/F423</f>
        <v/>
      </c>
    </row>
    <row r="424">
      <c r="A424" s="113" t="inlineStr">
        <is>
          <t>HOLLOW-15x30x1.8</t>
        </is>
      </c>
      <c r="B424" s="117" t="inlineStr">
        <is>
          <t>Black hollow section 15 x 30 mm, wall 1.8 mm</t>
        </is>
      </c>
      <c r="C424" s="114">
        <f>G424/$C$393</f>
        <v/>
      </c>
      <c r="D424" s="113" t="inlineStr">
        <is>
          <t>IDR/m</t>
        </is>
      </c>
      <c r="E424" s="113" t="inlineStr">
        <is>
          <t>smsperkasa.com, price per 6 m bar</t>
        </is>
      </c>
      <c r="F424" s="130" t="n">
        <v>7.63</v>
      </c>
      <c r="G424" s="131" t="n">
        <v>94000</v>
      </c>
      <c r="H424" s="132">
        <f>G424/F424</f>
        <v/>
      </c>
    </row>
    <row r="425">
      <c r="A425" s="113" t="inlineStr">
        <is>
          <t>HOLLOW-15x35x1</t>
        </is>
      </c>
      <c r="B425" s="117" t="inlineStr">
        <is>
          <t>Black hollow section 15 x 35 mm, wall 1 mm</t>
        </is>
      </c>
      <c r="C425" s="114">
        <f>G425/$C$393</f>
        <v/>
      </c>
      <c r="D425" s="113" t="inlineStr">
        <is>
          <t>IDR/m</t>
        </is>
      </c>
      <c r="E425" s="113" t="inlineStr">
        <is>
          <t>smsperkasa.com, price per 6 m bar</t>
        </is>
      </c>
      <c r="F425" s="130" t="n">
        <v>4.71</v>
      </c>
      <c r="G425" s="131" t="n">
        <v>64700</v>
      </c>
      <c r="H425" s="132">
        <f>G425/F425</f>
        <v/>
      </c>
    </row>
    <row r="426">
      <c r="A426" s="113" t="inlineStr">
        <is>
          <t>HOLLOW-15x35x1.2</t>
        </is>
      </c>
      <c r="B426" s="117" t="inlineStr">
        <is>
          <t>Black hollow section 15 x 35 mm, wall 1.2 mm</t>
        </is>
      </c>
      <c r="C426" s="114">
        <f>G426/$C$393</f>
        <v/>
      </c>
      <c r="D426" s="113" t="inlineStr">
        <is>
          <t>IDR/m</t>
        </is>
      </c>
      <c r="E426" s="113" t="inlineStr">
        <is>
          <t>smsperkasa.com, price per 6 m bar</t>
        </is>
      </c>
      <c r="F426" s="130" t="n">
        <v>5.65</v>
      </c>
      <c r="G426" s="131" t="n">
        <v>76200</v>
      </c>
      <c r="H426" s="132">
        <f>G426/F426</f>
        <v/>
      </c>
    </row>
    <row r="427">
      <c r="A427" s="113" t="inlineStr">
        <is>
          <t>HOLLOW-15x35x1.8</t>
        </is>
      </c>
      <c r="B427" s="117" t="inlineStr">
        <is>
          <t>Black hollow section 15 x 35 mm, wall 1.8 mm</t>
        </is>
      </c>
      <c r="C427" s="114">
        <f>G427/$C$393</f>
        <v/>
      </c>
      <c r="D427" s="113" t="inlineStr">
        <is>
          <t>IDR/m</t>
        </is>
      </c>
      <c r="E427" s="113" t="inlineStr">
        <is>
          <t>smsperkasa.com, price per 6 m bar</t>
        </is>
      </c>
      <c r="F427" s="130" t="n">
        <v>8.48</v>
      </c>
      <c r="G427" s="131" t="n">
        <v>104800</v>
      </c>
      <c r="H427" s="132">
        <f>G427/F427</f>
        <v/>
      </c>
    </row>
    <row r="428">
      <c r="A428" s="113" t="inlineStr">
        <is>
          <t>HOLLOW-20x20x0.8</t>
        </is>
      </c>
      <c r="B428" s="117" t="inlineStr">
        <is>
          <t>Black hollow section 20 x 20 mm, wall 0.8 mm</t>
        </is>
      </c>
      <c r="C428" s="114">
        <f>G428/$C$393</f>
        <v/>
      </c>
      <c r="D428" s="113" t="inlineStr">
        <is>
          <t>IDR/m</t>
        </is>
      </c>
      <c r="E428" s="113" t="inlineStr">
        <is>
          <t>smsperkasa.com, price per 6 m bar</t>
        </is>
      </c>
      <c r="F428" s="130" t="n">
        <v>3.01</v>
      </c>
      <c r="G428" s="131" t="n">
        <v>42700</v>
      </c>
      <c r="H428" s="132">
        <f>G428/F428</f>
        <v/>
      </c>
    </row>
    <row r="429">
      <c r="A429" s="113" t="inlineStr">
        <is>
          <t>HOLLOW-20x20x1</t>
        </is>
      </c>
      <c r="B429" s="117" t="inlineStr">
        <is>
          <t>Black hollow section 20 x 20 mm, wall 1 mm</t>
        </is>
      </c>
      <c r="C429" s="114">
        <f>G429/$C$393</f>
        <v/>
      </c>
      <c r="D429" s="113" t="inlineStr">
        <is>
          <t>IDR/m</t>
        </is>
      </c>
      <c r="E429" s="113" t="inlineStr">
        <is>
          <t>smsperkasa.com, price per 6 m bar</t>
        </is>
      </c>
      <c r="F429" s="130" t="n">
        <v>3.77</v>
      </c>
      <c r="G429" s="131" t="n">
        <v>51300</v>
      </c>
      <c r="H429" s="132">
        <f>G429/F429</f>
        <v/>
      </c>
    </row>
    <row r="430">
      <c r="A430" s="113" t="inlineStr">
        <is>
          <t>HOLLOW-20x20x1.2</t>
        </is>
      </c>
      <c r="B430" s="117" t="inlineStr">
        <is>
          <t>Black hollow section 20 x 20 mm, wall 1.2 mm</t>
        </is>
      </c>
      <c r="C430" s="114">
        <f>G430/$C$393</f>
        <v/>
      </c>
      <c r="D430" s="113" t="inlineStr">
        <is>
          <t>IDR/m</t>
        </is>
      </c>
      <c r="E430" s="113" t="inlineStr">
        <is>
          <t>smsperkasa.com, price per 6 m bar</t>
        </is>
      </c>
      <c r="F430" s="130" t="n">
        <v>4.52</v>
      </c>
      <c r="G430" s="131" t="n">
        <v>60400</v>
      </c>
      <c r="H430" s="132">
        <f>G430/F430</f>
        <v/>
      </c>
    </row>
    <row r="431">
      <c r="A431" s="113" t="inlineStr">
        <is>
          <t>HOLLOW-20x20x1.8</t>
        </is>
      </c>
      <c r="B431" s="117" t="inlineStr">
        <is>
          <t>Black hollow section 20 x 20 mm, wall 1.8 mm</t>
        </is>
      </c>
      <c r="C431" s="114">
        <f>G431/$C$393</f>
        <v/>
      </c>
      <c r="D431" s="113" t="inlineStr">
        <is>
          <t>IDR/m</t>
        </is>
      </c>
      <c r="E431" s="113" t="inlineStr">
        <is>
          <t>smsperkasa.com, price per 6 m bar</t>
        </is>
      </c>
      <c r="F431" s="130" t="n">
        <v>6.78</v>
      </c>
      <c r="G431" s="131" t="n">
        <v>83100</v>
      </c>
      <c r="H431" s="132">
        <f>G431/F431</f>
        <v/>
      </c>
    </row>
    <row r="432">
      <c r="A432" s="113" t="inlineStr">
        <is>
          <t>HOLLOW-20x40x0.8</t>
        </is>
      </c>
      <c r="B432" s="117" t="inlineStr">
        <is>
          <t>Black hollow section 20 x 40 mm, wall 0.8 mm</t>
        </is>
      </c>
      <c r="C432" s="114">
        <f>G432/$C$393</f>
        <v/>
      </c>
      <c r="D432" s="113" t="inlineStr">
        <is>
          <t>IDR/m</t>
        </is>
      </c>
      <c r="E432" s="113" t="inlineStr">
        <is>
          <t>smsperkasa.com, price per 6 m bar</t>
        </is>
      </c>
      <c r="F432" s="130" t="n">
        <v>4.52</v>
      </c>
      <c r="G432" s="131" t="n">
        <v>60800</v>
      </c>
      <c r="H432" s="132">
        <f>G432/F432</f>
        <v/>
      </c>
    </row>
    <row r="433">
      <c r="A433" s="113" t="inlineStr">
        <is>
          <t>HOLLOW-20x40x1</t>
        </is>
      </c>
      <c r="B433" s="117" t="inlineStr">
        <is>
          <t>Black hollow section 20 x 40 mm, wall 1 mm</t>
        </is>
      </c>
      <c r="C433" s="114">
        <f>G433/$C$393</f>
        <v/>
      </c>
      <c r="D433" s="113" t="inlineStr">
        <is>
          <t>IDR/m</t>
        </is>
      </c>
      <c r="E433" s="113" t="inlineStr">
        <is>
          <t>smsperkasa.com, price per 6 m bar</t>
        </is>
      </c>
      <c r="F433" s="130" t="n">
        <v>5.65</v>
      </c>
      <c r="G433" s="131" t="n">
        <v>78200</v>
      </c>
      <c r="H433" s="132">
        <f>G433/F433</f>
        <v/>
      </c>
    </row>
    <row r="434">
      <c r="A434" s="113" t="inlineStr">
        <is>
          <t>HOLLOW-20x40x1.2</t>
        </is>
      </c>
      <c r="B434" s="117" t="inlineStr">
        <is>
          <t>Black hollow section 20 x 40 mm, wall 1.2 mm</t>
        </is>
      </c>
      <c r="C434" s="114">
        <f>G434/$C$393</f>
        <v/>
      </c>
      <c r="D434" s="113" t="inlineStr">
        <is>
          <t>IDR/m</t>
        </is>
      </c>
      <c r="E434" s="113" t="inlineStr">
        <is>
          <t>smsperkasa.com, price per 6 m bar</t>
        </is>
      </c>
      <c r="F434" s="130" t="n">
        <v>6.78</v>
      </c>
      <c r="G434" s="131" t="n">
        <v>92100</v>
      </c>
      <c r="H434" s="132">
        <f>G434/F434</f>
        <v/>
      </c>
    </row>
    <row r="435">
      <c r="A435" s="113" t="inlineStr">
        <is>
          <t>HOLLOW-20x40x1.8</t>
        </is>
      </c>
      <c r="B435" s="117" t="inlineStr">
        <is>
          <t>Black hollow section 20 x 40 mm, wall 1.8 mm</t>
        </is>
      </c>
      <c r="C435" s="114">
        <f>G435/$C$393</f>
        <v/>
      </c>
      <c r="D435" s="113" t="inlineStr">
        <is>
          <t>IDR/m</t>
        </is>
      </c>
      <c r="E435" s="113" t="inlineStr">
        <is>
          <t>smsperkasa.com, price per 6 m bar</t>
        </is>
      </c>
      <c r="F435" s="130" t="n">
        <v>10.17</v>
      </c>
      <c r="G435" s="131" t="n">
        <v>126800</v>
      </c>
      <c r="H435" s="132">
        <f>G435/F435</f>
        <v/>
      </c>
    </row>
    <row r="436">
      <c r="A436" s="113" t="inlineStr">
        <is>
          <t>HOLLOW-20x40x2</t>
        </is>
      </c>
      <c r="B436" s="117" t="inlineStr">
        <is>
          <t>Black hollow section 20 x 40 mm, wall 2 mm</t>
        </is>
      </c>
      <c r="C436" s="114">
        <f>G436/$C$393</f>
        <v/>
      </c>
      <c r="D436" s="113" t="inlineStr">
        <is>
          <t>IDR/m</t>
        </is>
      </c>
      <c r="E436" s="113" t="inlineStr">
        <is>
          <t>smsperkasa.com, price per 6 m bar</t>
        </is>
      </c>
      <c r="F436" s="130" t="n">
        <v>11.3</v>
      </c>
      <c r="G436" s="131" t="n">
        <v>142000</v>
      </c>
      <c r="H436" s="132">
        <f>G436/F436</f>
        <v/>
      </c>
    </row>
    <row r="437">
      <c r="A437" s="113" t="inlineStr">
        <is>
          <t>HOLLOW-20x40x2.3</t>
        </is>
      </c>
      <c r="B437" s="117" t="inlineStr">
        <is>
          <t>Black hollow section 20 x 40 mm, wall 2.3 mm</t>
        </is>
      </c>
      <c r="C437" s="114">
        <f>G437/$C$393</f>
        <v/>
      </c>
      <c r="D437" s="113" t="inlineStr">
        <is>
          <t>IDR/m</t>
        </is>
      </c>
      <c r="E437" s="113" t="inlineStr">
        <is>
          <t>smsperkasa.com, price per 6 m bar</t>
        </is>
      </c>
      <c r="F437" s="130" t="n">
        <v>13</v>
      </c>
      <c r="G437" s="131" t="n">
        <v>164900</v>
      </c>
      <c r="H437" s="132">
        <f>G437/F437</f>
        <v/>
      </c>
    </row>
    <row r="438">
      <c r="A438" s="113" t="inlineStr">
        <is>
          <t>HOLLOW-25x25x0.8</t>
        </is>
      </c>
      <c r="B438" s="117" t="inlineStr">
        <is>
          <t>Black hollow section 25 x 25 mm, wall 0.8 mm</t>
        </is>
      </c>
      <c r="C438" s="114">
        <f>G438/$C$393</f>
        <v/>
      </c>
      <c r="D438" s="113" t="inlineStr">
        <is>
          <t>IDR/m</t>
        </is>
      </c>
      <c r="E438" s="113" t="inlineStr">
        <is>
          <t>smsperkasa.com, price per 6 m bar</t>
        </is>
      </c>
      <c r="F438" s="130" t="n">
        <v>3.77</v>
      </c>
      <c r="G438" s="131" t="n">
        <v>50500</v>
      </c>
      <c r="H438" s="132">
        <f>G438/F438</f>
        <v/>
      </c>
    </row>
    <row r="439">
      <c r="A439" s="113" t="inlineStr">
        <is>
          <t>HOLLOW-25x25x1</t>
        </is>
      </c>
      <c r="B439" s="117" t="inlineStr">
        <is>
          <t>Black hollow section 25 x 25 mm, wall 1 mm</t>
        </is>
      </c>
      <c r="C439" s="114">
        <f>G439/$C$393</f>
        <v/>
      </c>
      <c r="D439" s="113" t="inlineStr">
        <is>
          <t>IDR/m</t>
        </is>
      </c>
      <c r="E439" s="113" t="inlineStr">
        <is>
          <t>smsperkasa.com, price per 6 m bar</t>
        </is>
      </c>
      <c r="F439" s="130" t="n">
        <v>4.71</v>
      </c>
      <c r="G439" s="131" t="n">
        <v>64700</v>
      </c>
      <c r="H439" s="132">
        <f>G439/F439</f>
        <v/>
      </c>
    </row>
    <row r="440">
      <c r="A440" s="113" t="inlineStr">
        <is>
          <t>HOLLOW-25x25x1.2</t>
        </is>
      </c>
      <c r="B440" s="117" t="inlineStr">
        <is>
          <t>Black hollow section 25 x 25 mm, wall 1.2 mm</t>
        </is>
      </c>
      <c r="C440" s="114">
        <f>G440/$C$393</f>
        <v/>
      </c>
      <c r="D440" s="113" t="inlineStr">
        <is>
          <t>IDR/m</t>
        </is>
      </c>
      <c r="E440" s="113" t="inlineStr">
        <is>
          <t>smsperkasa.com, price per 6 m bar</t>
        </is>
      </c>
      <c r="F440" s="130" t="n">
        <v>5.65</v>
      </c>
      <c r="G440" s="131" t="n">
        <v>76200</v>
      </c>
      <c r="H440" s="132">
        <f>G440/F440</f>
        <v/>
      </c>
    </row>
    <row r="441">
      <c r="A441" s="113" t="inlineStr">
        <is>
          <t>HOLLOW-25x25x1.8</t>
        </is>
      </c>
      <c r="B441" s="117" t="inlineStr">
        <is>
          <t>Black hollow section 25 x 25 mm, wall 1.8 mm</t>
        </is>
      </c>
      <c r="C441" s="114">
        <f>G441/$C$393</f>
        <v/>
      </c>
      <c r="D441" s="113" t="inlineStr">
        <is>
          <t>IDR/m</t>
        </is>
      </c>
      <c r="E441" s="113" t="inlineStr">
        <is>
          <t>smsperkasa.com, price per 6 m bar</t>
        </is>
      </c>
      <c r="F441" s="130" t="n">
        <v>8.48</v>
      </c>
      <c r="G441" s="131" t="n">
        <v>106100</v>
      </c>
      <c r="H441" s="132">
        <f>G441/F441</f>
        <v/>
      </c>
    </row>
    <row r="442">
      <c r="A442" s="113" t="inlineStr">
        <is>
          <t>HOLLOW-25x25x2</t>
        </is>
      </c>
      <c r="B442" s="117" t="inlineStr">
        <is>
          <t>Black hollow section 25 x 25 mm, wall 2 mm</t>
        </is>
      </c>
      <c r="C442" s="114">
        <f>G442/$C$393</f>
        <v/>
      </c>
      <c r="D442" s="113" t="inlineStr">
        <is>
          <t>IDR/m</t>
        </is>
      </c>
      <c r="E442" s="113" t="inlineStr">
        <is>
          <t>smsperkasa.com, price per 6 m bar</t>
        </is>
      </c>
      <c r="F442" s="130" t="n">
        <v>9.42</v>
      </c>
      <c r="G442" s="131" t="n">
        <v>117400</v>
      </c>
      <c r="H442" s="132">
        <f>G442/F442</f>
        <v/>
      </c>
    </row>
    <row r="443">
      <c r="A443" s="113" t="inlineStr">
        <is>
          <t>HOLLOW-25x25x2.3</t>
        </is>
      </c>
      <c r="B443" s="117" t="inlineStr">
        <is>
          <t>Black hollow section 25 x 25 mm, wall 2.3 mm</t>
        </is>
      </c>
      <c r="C443" s="114">
        <f>G443/$C$393</f>
        <v/>
      </c>
      <c r="D443" s="113" t="inlineStr">
        <is>
          <t>IDR/m</t>
        </is>
      </c>
      <c r="E443" s="113" t="inlineStr">
        <is>
          <t>smsperkasa.com, price per 6 m bar</t>
        </is>
      </c>
      <c r="F443" s="130" t="n">
        <v>10.83</v>
      </c>
      <c r="G443" s="131" t="n">
        <v>136500</v>
      </c>
      <c r="H443" s="132">
        <f>G443/F443</f>
        <v/>
      </c>
    </row>
    <row r="444">
      <c r="A444" s="113" t="inlineStr">
        <is>
          <t>HOLLOW-25x50x0.8</t>
        </is>
      </c>
      <c r="B444" s="117" t="inlineStr">
        <is>
          <t>Black hollow section 25 x 50 mm, wall 0.8 mm</t>
        </is>
      </c>
      <c r="C444" s="114">
        <f>G444/$C$393</f>
        <v/>
      </c>
      <c r="D444" s="113" t="inlineStr">
        <is>
          <t>IDR/m</t>
        </is>
      </c>
      <c r="E444" s="113" t="inlineStr">
        <is>
          <t>smsperkasa.com, price per 6 m bar</t>
        </is>
      </c>
      <c r="F444" s="130" t="n">
        <v>5.65</v>
      </c>
      <c r="G444" s="131" t="n">
        <v>82100</v>
      </c>
      <c r="H444" s="132">
        <f>G444/F444</f>
        <v/>
      </c>
    </row>
    <row r="445">
      <c r="A445" s="113" t="inlineStr">
        <is>
          <t>HOLLOW-25x50x1</t>
        </is>
      </c>
      <c r="B445" s="117" t="inlineStr">
        <is>
          <t>Black hollow section 25 x 50 mm, wall 1 mm</t>
        </is>
      </c>
      <c r="C445" s="114">
        <f>G445/$C$393</f>
        <v/>
      </c>
      <c r="D445" s="113" t="inlineStr">
        <is>
          <t>IDR/m</t>
        </is>
      </c>
      <c r="E445" s="113" t="inlineStr">
        <is>
          <t>smsperkasa.com, price per 6 m bar</t>
        </is>
      </c>
      <c r="F445" s="130" t="n">
        <v>7.07</v>
      </c>
      <c r="G445" s="131" t="n">
        <v>98400</v>
      </c>
      <c r="H445" s="132">
        <f>G445/F445</f>
        <v/>
      </c>
    </row>
    <row r="446">
      <c r="A446" s="113" t="inlineStr">
        <is>
          <t>HOLLOW-25x50x1.2</t>
        </is>
      </c>
      <c r="B446" s="117" t="inlineStr">
        <is>
          <t>Black hollow section 25 x 50 mm, wall 1.2 mm</t>
        </is>
      </c>
      <c r="C446" s="114">
        <f>G446/$C$393</f>
        <v/>
      </c>
      <c r="D446" s="113" t="inlineStr">
        <is>
          <t>IDR/m</t>
        </is>
      </c>
      <c r="E446" s="113" t="inlineStr">
        <is>
          <t>smsperkasa.com, price per 6 m bar</t>
        </is>
      </c>
      <c r="F446" s="130" t="n">
        <v>8.48</v>
      </c>
      <c r="G446" s="131" t="n">
        <v>115800</v>
      </c>
      <c r="H446" s="132">
        <f>G446/F446</f>
        <v/>
      </c>
    </row>
    <row r="447">
      <c r="A447" s="113" t="inlineStr">
        <is>
          <t>HOLLOW-25x50x1.8</t>
        </is>
      </c>
      <c r="B447" s="117" t="inlineStr">
        <is>
          <t>Black hollow section 25 x 50 mm, wall 1.8 mm</t>
        </is>
      </c>
      <c r="C447" s="114">
        <f>G447/$C$393</f>
        <v/>
      </c>
      <c r="D447" s="113" t="inlineStr">
        <is>
          <t>IDR/m</t>
        </is>
      </c>
      <c r="E447" s="113" t="inlineStr">
        <is>
          <t>smsperkasa.com, price per 6 m bar</t>
        </is>
      </c>
      <c r="F447" s="130" t="n">
        <v>12.72</v>
      </c>
      <c r="G447" s="131" t="n">
        <v>161400</v>
      </c>
      <c r="H447" s="132">
        <f>G447/F447</f>
        <v/>
      </c>
    </row>
    <row r="448">
      <c r="A448" s="113" t="inlineStr">
        <is>
          <t>HOLLOW-25x50x2</t>
        </is>
      </c>
      <c r="B448" s="117" t="inlineStr">
        <is>
          <t>Black hollow section 25 x 50 mm, wall 2 mm</t>
        </is>
      </c>
      <c r="C448" s="114">
        <f>G448/$C$393</f>
        <v/>
      </c>
      <c r="D448" s="113" t="inlineStr">
        <is>
          <t>IDR/m</t>
        </is>
      </c>
      <c r="E448" s="113" t="inlineStr">
        <is>
          <t>smsperkasa.com, price per 6 m bar</t>
        </is>
      </c>
      <c r="F448" s="130" t="n">
        <v>14.13</v>
      </c>
      <c r="G448" s="131" t="n">
        <v>178500</v>
      </c>
      <c r="H448" s="132">
        <f>G448/F448</f>
        <v/>
      </c>
    </row>
    <row r="449">
      <c r="A449" s="113" t="inlineStr">
        <is>
          <t>HOLLOW-25x50x2.3</t>
        </is>
      </c>
      <c r="B449" s="117" t="inlineStr">
        <is>
          <t>Black hollow section 25 x 50 mm, wall 2.3 mm</t>
        </is>
      </c>
      <c r="C449" s="114">
        <f>G449/$C$393</f>
        <v/>
      </c>
      <c r="D449" s="113" t="inlineStr">
        <is>
          <t>IDR/m</t>
        </is>
      </c>
      <c r="E449" s="113" t="inlineStr">
        <is>
          <t>smsperkasa.com, price per 6 m bar</t>
        </is>
      </c>
      <c r="F449" s="130" t="n">
        <v>16.25</v>
      </c>
      <c r="G449" s="131" t="n">
        <v>207500</v>
      </c>
      <c r="H449" s="132">
        <f>G449/F449</f>
        <v/>
      </c>
    </row>
    <row r="450">
      <c r="A450" s="113" t="inlineStr">
        <is>
          <t>HOLLOW-30x30x0.8</t>
        </is>
      </c>
      <c r="B450" s="117" t="inlineStr">
        <is>
          <t>Black hollow section 30 x 30 mm, wall 0.8 mm</t>
        </is>
      </c>
      <c r="C450" s="114">
        <f>G450/$C$393</f>
        <v/>
      </c>
      <c r="D450" s="113" t="inlineStr">
        <is>
          <t>IDR/m</t>
        </is>
      </c>
      <c r="E450" s="113" t="inlineStr">
        <is>
          <t>smsperkasa.com, price per 6 m bar</t>
        </is>
      </c>
      <c r="F450" s="130" t="n">
        <v>4.52</v>
      </c>
      <c r="G450" s="131" t="n">
        <v>60800</v>
      </c>
      <c r="H450" s="132">
        <f>G450/F450</f>
        <v/>
      </c>
    </row>
    <row r="451">
      <c r="A451" s="113" t="inlineStr">
        <is>
          <t>HOLLOW-30x30x1</t>
        </is>
      </c>
      <c r="B451" s="117" t="inlineStr">
        <is>
          <t>Black hollow section 30 x 30 mm, wall 1 mm</t>
        </is>
      </c>
      <c r="C451" s="114">
        <f>G451/$C$393</f>
        <v/>
      </c>
      <c r="D451" s="113" t="inlineStr">
        <is>
          <t>IDR/m</t>
        </is>
      </c>
      <c r="E451" s="113" t="inlineStr">
        <is>
          <t>smsperkasa.com, price per 6 m bar</t>
        </is>
      </c>
      <c r="F451" s="130" t="n">
        <v>5.65</v>
      </c>
      <c r="G451" s="131" t="n">
        <v>78200</v>
      </c>
      <c r="H451" s="132">
        <f>G451/F451</f>
        <v/>
      </c>
    </row>
    <row r="452">
      <c r="A452" s="113" t="inlineStr">
        <is>
          <t>HOLLOW-30x30x1.2</t>
        </is>
      </c>
      <c r="B452" s="117" t="inlineStr">
        <is>
          <t>Black hollow section 30 x 30 mm, wall 1.2 mm</t>
        </is>
      </c>
      <c r="C452" s="114">
        <f>G452/$C$393</f>
        <v/>
      </c>
      <c r="D452" s="113" t="inlineStr">
        <is>
          <t>IDR/m</t>
        </is>
      </c>
      <c r="E452" s="113" t="inlineStr">
        <is>
          <t>smsperkasa.com, price per 6 m bar</t>
        </is>
      </c>
      <c r="F452" s="130" t="n">
        <v>6.78</v>
      </c>
      <c r="G452" s="131" t="n">
        <v>92100</v>
      </c>
      <c r="H452" s="132">
        <f>G452/F452</f>
        <v/>
      </c>
    </row>
    <row r="453">
      <c r="A453" s="113" t="inlineStr">
        <is>
          <t>HOLLOW-30x30x1.8</t>
        </is>
      </c>
      <c r="B453" s="117" t="inlineStr">
        <is>
          <t>Black hollow section 30 x 30 mm, wall 1.8 mm</t>
        </is>
      </c>
      <c r="C453" s="114">
        <f>G453/$C$393</f>
        <v/>
      </c>
      <c r="D453" s="113" t="inlineStr">
        <is>
          <t>IDR/m</t>
        </is>
      </c>
      <c r="E453" s="113" t="inlineStr">
        <is>
          <t>smsperkasa.com, price per 6 m bar</t>
        </is>
      </c>
      <c r="F453" s="130" t="n">
        <v>10.17</v>
      </c>
      <c r="G453" s="131" t="n">
        <v>128200</v>
      </c>
      <c r="H453" s="132">
        <f>G453/F453</f>
        <v/>
      </c>
    </row>
    <row r="454">
      <c r="A454" s="113" t="inlineStr">
        <is>
          <t>HOLLOW-30x30x2</t>
        </is>
      </c>
      <c r="B454" s="117" t="inlineStr">
        <is>
          <t>Black hollow section 30 x 30 mm, wall 2 mm</t>
        </is>
      </c>
      <c r="C454" s="114">
        <f>G454/$C$393</f>
        <v/>
      </c>
      <c r="D454" s="113" t="inlineStr">
        <is>
          <t>IDR/m</t>
        </is>
      </c>
      <c r="E454" s="113" t="inlineStr">
        <is>
          <t>smsperkasa.com, price per 6 m bar</t>
        </is>
      </c>
      <c r="F454" s="130" t="n">
        <v>11.3</v>
      </c>
      <c r="G454" s="131" t="n">
        <v>142000</v>
      </c>
      <c r="H454" s="132">
        <f>G454/F454</f>
        <v/>
      </c>
    </row>
    <row r="455">
      <c r="A455" s="113" t="inlineStr">
        <is>
          <t>HOLLOW-30x30x2.3</t>
        </is>
      </c>
      <c r="B455" s="117" t="inlineStr">
        <is>
          <t>Black hollow section 30 x 30 mm, wall 2.3 mm</t>
        </is>
      </c>
      <c r="C455" s="114">
        <f>G455/$C$393</f>
        <v/>
      </c>
      <c r="D455" s="113" t="inlineStr">
        <is>
          <t>IDR/m</t>
        </is>
      </c>
      <c r="E455" s="113" t="inlineStr">
        <is>
          <t>smsperkasa.com, price per 6 m bar</t>
        </is>
      </c>
      <c r="F455" s="130" t="n">
        <v>13</v>
      </c>
      <c r="G455" s="131" t="n">
        <v>164900</v>
      </c>
      <c r="H455" s="132">
        <f>G455/F455</f>
        <v/>
      </c>
    </row>
    <row r="456">
      <c r="A456" s="113" t="inlineStr">
        <is>
          <t>HOLLOW-30x60x1</t>
        </is>
      </c>
      <c r="B456" s="117" t="inlineStr">
        <is>
          <t>Black hollow section 30 x 60 mm, wall 1 mm</t>
        </is>
      </c>
      <c r="C456" s="114">
        <f>G456/$C$393</f>
        <v/>
      </c>
      <c r="D456" s="113" t="inlineStr">
        <is>
          <t>IDR/m</t>
        </is>
      </c>
      <c r="E456" s="113" t="inlineStr">
        <is>
          <t>smsperkasa.com, price per 6 m bar</t>
        </is>
      </c>
      <c r="F456" s="130" t="n">
        <v>8.48</v>
      </c>
      <c r="G456" s="131" t="n">
        <v>118600</v>
      </c>
      <c r="H456" s="132">
        <f>G456/F456</f>
        <v/>
      </c>
    </row>
    <row r="457">
      <c r="A457" s="113" t="inlineStr">
        <is>
          <t>HOLLOW-30x60x1.2</t>
        </is>
      </c>
      <c r="B457" s="117" t="inlineStr">
        <is>
          <t>Black hollow section 30 x 60 mm, wall 1.2 mm</t>
        </is>
      </c>
      <c r="C457" s="114">
        <f>G457/$C$393</f>
        <v/>
      </c>
      <c r="D457" s="113" t="inlineStr">
        <is>
          <t>IDR/m</t>
        </is>
      </c>
      <c r="E457" s="113" t="inlineStr">
        <is>
          <t>smsperkasa.com, price per 6 m bar</t>
        </is>
      </c>
      <c r="F457" s="130" t="n">
        <v>10.17</v>
      </c>
      <c r="G457" s="131" t="n">
        <v>139600</v>
      </c>
      <c r="H457" s="132">
        <f>G457/F457</f>
        <v/>
      </c>
    </row>
    <row r="458">
      <c r="A458" s="113" t="inlineStr">
        <is>
          <t>HOLLOW-30x60x1.8</t>
        </is>
      </c>
      <c r="B458" s="117" t="inlineStr">
        <is>
          <t>Black hollow section 30 x 60 mm, wall 1.8 mm</t>
        </is>
      </c>
      <c r="C458" s="114">
        <f>G458/$C$393</f>
        <v/>
      </c>
      <c r="D458" s="113" t="inlineStr">
        <is>
          <t>IDR/m</t>
        </is>
      </c>
      <c r="E458" s="113" t="inlineStr">
        <is>
          <t>smsperkasa.com, price per 6 m bar</t>
        </is>
      </c>
      <c r="F458" s="130" t="n">
        <v>15.26</v>
      </c>
      <c r="G458" s="131" t="n">
        <v>194500</v>
      </c>
      <c r="H458" s="132">
        <f>G458/F458</f>
        <v/>
      </c>
    </row>
    <row r="459">
      <c r="A459" s="113" t="inlineStr">
        <is>
          <t>HOLLOW-30x60x2</t>
        </is>
      </c>
      <c r="B459" s="117" t="inlineStr">
        <is>
          <t>Black hollow section 30 x 60 mm, wall 2 mm</t>
        </is>
      </c>
      <c r="C459" s="114">
        <f>G459/$C$393</f>
        <v/>
      </c>
      <c r="D459" s="113" t="inlineStr">
        <is>
          <t>IDR/m</t>
        </is>
      </c>
      <c r="E459" s="113" t="inlineStr">
        <is>
          <t>smsperkasa.com, price per 6 m bar</t>
        </is>
      </c>
      <c r="F459" s="130" t="n">
        <v>16.96</v>
      </c>
      <c r="G459" s="131" t="n">
        <v>215400</v>
      </c>
      <c r="H459" s="132">
        <f>G459/F459</f>
        <v/>
      </c>
    </row>
    <row r="460">
      <c r="A460" s="113" t="inlineStr">
        <is>
          <t>HOLLOW-30x60x2.3</t>
        </is>
      </c>
      <c r="B460" s="117" t="inlineStr">
        <is>
          <t>Black hollow section 30 x 60 mm, wall 2.3 mm</t>
        </is>
      </c>
      <c r="C460" s="114">
        <f>G460/$C$393</f>
        <v/>
      </c>
      <c r="D460" s="113" t="inlineStr">
        <is>
          <t>IDR/m</t>
        </is>
      </c>
      <c r="E460" s="113" t="inlineStr">
        <is>
          <t>smsperkasa.com, price per 6 m bar</t>
        </is>
      </c>
      <c r="F460" s="130" t="n">
        <v>19.5</v>
      </c>
      <c r="G460" s="131" t="n">
        <v>250200</v>
      </c>
      <c r="H460" s="132">
        <f>G460/F460</f>
        <v/>
      </c>
    </row>
    <row r="461">
      <c r="A461" s="113" t="inlineStr">
        <is>
          <t>HOLLOW-30x60x2.5</t>
        </is>
      </c>
      <c r="B461" s="117" t="inlineStr">
        <is>
          <t>Black hollow section 30 x 60 mm, wall 2.5 mm</t>
        </is>
      </c>
      <c r="C461" s="114">
        <f>G461/$C$393</f>
        <v/>
      </c>
      <c r="D461" s="113" t="inlineStr">
        <is>
          <t>IDR/m</t>
        </is>
      </c>
      <c r="E461" s="113" t="inlineStr">
        <is>
          <t>smsperkasa.com, price per 6 m bar</t>
        </is>
      </c>
      <c r="F461" s="130" t="n">
        <v>21.2</v>
      </c>
      <c r="G461" s="131" t="n">
        <v>276200</v>
      </c>
      <c r="H461" s="132">
        <f>G461/F461</f>
        <v/>
      </c>
    </row>
    <row r="462">
      <c r="A462" s="113" t="inlineStr">
        <is>
          <t>HOLLOW-30x60x2.8</t>
        </is>
      </c>
      <c r="B462" s="117" t="inlineStr">
        <is>
          <t>Black hollow section 30 x 60 mm, wall 2.8 mm</t>
        </is>
      </c>
      <c r="C462" s="114">
        <f>G462/$C$393</f>
        <v/>
      </c>
      <c r="D462" s="113" t="inlineStr">
        <is>
          <t>IDR/m</t>
        </is>
      </c>
      <c r="E462" s="113" t="inlineStr">
        <is>
          <t>smsperkasa.com, price per 6 m bar</t>
        </is>
      </c>
      <c r="F462" s="130" t="n">
        <v>23.74</v>
      </c>
      <c r="G462" s="131" t="n">
        <v>302500</v>
      </c>
      <c r="H462" s="132">
        <f>G462/F462</f>
        <v/>
      </c>
    </row>
    <row r="463">
      <c r="A463" s="113" t="inlineStr">
        <is>
          <t>HOLLOW-30x60x3</t>
        </is>
      </c>
      <c r="B463" s="117" t="inlineStr">
        <is>
          <t>Black hollow section 30 x 60 mm, wall 3 mm</t>
        </is>
      </c>
      <c r="C463" s="114">
        <f>G463/$C$393</f>
        <v/>
      </c>
      <c r="D463" s="113" t="inlineStr">
        <is>
          <t>IDR/m</t>
        </is>
      </c>
      <c r="E463" s="113" t="inlineStr">
        <is>
          <t>smsperkasa.com, price per 6 m bar</t>
        </is>
      </c>
      <c r="F463" s="130" t="n">
        <v>25.43</v>
      </c>
      <c r="G463" s="131" t="n">
        <v>341900</v>
      </c>
      <c r="H463" s="132">
        <f>G463/F463</f>
        <v/>
      </c>
    </row>
    <row r="464">
      <c r="A464" s="113" t="inlineStr">
        <is>
          <t>HOLLOW-30x60x3.2</t>
        </is>
      </c>
      <c r="B464" s="117" t="inlineStr">
        <is>
          <t>Black hollow section 30 x 60 mm, wall 3.2 mm</t>
        </is>
      </c>
      <c r="C464" s="114">
        <f>G464/$C$393</f>
        <v/>
      </c>
      <c r="D464" s="113" t="inlineStr">
        <is>
          <t>IDR/m</t>
        </is>
      </c>
      <c r="E464" s="113" t="inlineStr">
        <is>
          <t>smsperkasa.com, price per 6 m bar</t>
        </is>
      </c>
      <c r="F464" s="130" t="n">
        <v>27.13</v>
      </c>
      <c r="G464" s="131" t="n">
        <v>365500</v>
      </c>
      <c r="H464" s="132">
        <f>G464/F464</f>
        <v/>
      </c>
    </row>
    <row r="465">
      <c r="A465" s="113" t="inlineStr">
        <is>
          <t>HOLLOW-35x35x0.8</t>
        </is>
      </c>
      <c r="B465" s="117" t="inlineStr">
        <is>
          <t>Black hollow section 35 x 35 mm, wall 0.8 mm</t>
        </is>
      </c>
      <c r="C465" s="114">
        <f>G465/$C$393</f>
        <v/>
      </c>
      <c r="D465" s="113" t="inlineStr">
        <is>
          <t>IDR/m</t>
        </is>
      </c>
      <c r="E465" s="113" t="inlineStr">
        <is>
          <t>smsperkasa.com, price per 6 m bar</t>
        </is>
      </c>
      <c r="F465" s="130" t="n">
        <v>5.28</v>
      </c>
      <c r="G465" s="131" t="n">
        <v>71300</v>
      </c>
      <c r="H465" s="132">
        <f>G465/F465</f>
        <v/>
      </c>
    </row>
    <row r="466">
      <c r="A466" s="113" t="inlineStr">
        <is>
          <t>HOLLOW-35x35x1</t>
        </is>
      </c>
      <c r="B466" s="117" t="inlineStr">
        <is>
          <t>Black hollow section 35 x 35 mm, wall 1 mm</t>
        </is>
      </c>
      <c r="C466" s="114">
        <f>G466/$C$393</f>
        <v/>
      </c>
      <c r="D466" s="113" t="inlineStr">
        <is>
          <t>IDR/m</t>
        </is>
      </c>
      <c r="E466" s="113" t="inlineStr">
        <is>
          <t>smsperkasa.com, price per 6 m bar</t>
        </is>
      </c>
      <c r="F466" s="130" t="n">
        <v>6.59</v>
      </c>
      <c r="G466" s="131" t="n">
        <v>91800</v>
      </c>
      <c r="H466" s="132">
        <f>G466/F466</f>
        <v/>
      </c>
    </row>
    <row r="467">
      <c r="A467" s="113" t="inlineStr">
        <is>
          <t>HOLLOW-35x35x1.2</t>
        </is>
      </c>
      <c r="B467" s="117" t="inlineStr">
        <is>
          <t>Black hollow section 35 x 35 mm, wall 1.2 mm</t>
        </is>
      </c>
      <c r="C467" s="114">
        <f>G467/$C$393</f>
        <v/>
      </c>
      <c r="D467" s="113" t="inlineStr">
        <is>
          <t>IDR/m</t>
        </is>
      </c>
      <c r="E467" s="113" t="inlineStr">
        <is>
          <t>smsperkasa.com, price per 6 m bar</t>
        </is>
      </c>
      <c r="F467" s="130" t="n">
        <v>7.91</v>
      </c>
      <c r="G467" s="131" t="n">
        <v>108000</v>
      </c>
      <c r="H467" s="132">
        <f>G467/F467</f>
        <v/>
      </c>
    </row>
    <row r="468">
      <c r="A468" s="113" t="inlineStr">
        <is>
          <t>HOLLOW-35x35x1.8</t>
        </is>
      </c>
      <c r="B468" s="117" t="inlineStr">
        <is>
          <t>Black hollow section 35 x 35 mm, wall 1.8 mm</t>
        </is>
      </c>
      <c r="C468" s="114">
        <f>G468/$C$393</f>
        <v/>
      </c>
      <c r="D468" s="113" t="inlineStr">
        <is>
          <t>IDR/m</t>
        </is>
      </c>
      <c r="E468" s="113" t="inlineStr">
        <is>
          <t>smsperkasa.com, price per 6 m bar</t>
        </is>
      </c>
      <c r="F468" s="130" t="n">
        <v>11.87</v>
      </c>
      <c r="G468" s="131" t="n">
        <v>148600</v>
      </c>
      <c r="H468" s="132">
        <f>G468/F468</f>
        <v/>
      </c>
    </row>
    <row r="469">
      <c r="A469" s="113" t="inlineStr">
        <is>
          <t>HOLLOW-35x35x2</t>
        </is>
      </c>
      <c r="B469" s="117" t="inlineStr">
        <is>
          <t>Black hollow section 35 x 35 mm, wall 2 mm</t>
        </is>
      </c>
      <c r="C469" s="114">
        <f>G469/$C$393</f>
        <v/>
      </c>
      <c r="D469" s="113" t="inlineStr">
        <is>
          <t>IDR/m</t>
        </is>
      </c>
      <c r="E469" s="113" t="inlineStr">
        <is>
          <t>smsperkasa.com, price per 6 m bar</t>
        </is>
      </c>
      <c r="F469" s="130" t="n">
        <v>13.19</v>
      </c>
      <c r="G469" s="131" t="n">
        <v>166400</v>
      </c>
      <c r="H469" s="132">
        <f>G469/F469</f>
        <v/>
      </c>
    </row>
    <row r="470">
      <c r="A470" s="113" t="inlineStr">
        <is>
          <t>HOLLOW-35x35x2.3</t>
        </is>
      </c>
      <c r="B470" s="117" t="inlineStr">
        <is>
          <t>Black hollow section 35 x 35 mm, wall 2.3 mm</t>
        </is>
      </c>
      <c r="C470" s="114">
        <f>G470/$C$393</f>
        <v/>
      </c>
      <c r="D470" s="113" t="inlineStr">
        <is>
          <t>IDR/m</t>
        </is>
      </c>
      <c r="E470" s="113" t="inlineStr">
        <is>
          <t>smsperkasa.com, price per 6 m bar</t>
        </is>
      </c>
      <c r="F470" s="130" t="n">
        <v>15.17</v>
      </c>
      <c r="G470" s="131" t="n">
        <v>193300</v>
      </c>
      <c r="H470" s="132">
        <f>G470/F470</f>
        <v/>
      </c>
    </row>
    <row r="471">
      <c r="A471" s="113" t="inlineStr">
        <is>
          <t>HOLLOW-35x35x2.5</t>
        </is>
      </c>
      <c r="B471" s="117" t="inlineStr">
        <is>
          <t>Black hollow section 35 x 35 mm, wall 2.5 mm</t>
        </is>
      </c>
      <c r="C471" s="114">
        <f>G471/$C$393</f>
        <v/>
      </c>
      <c r="D471" s="113" t="inlineStr">
        <is>
          <t>IDR/m</t>
        </is>
      </c>
      <c r="E471" s="113" t="inlineStr">
        <is>
          <t>smsperkasa.com, price per 6 m bar</t>
        </is>
      </c>
      <c r="F471" s="130" t="n">
        <v>16.49</v>
      </c>
      <c r="G471" s="131" t="n">
        <v>213300</v>
      </c>
      <c r="H471" s="132">
        <f>G471/F471</f>
        <v/>
      </c>
    </row>
    <row r="472">
      <c r="A472" s="113" t="inlineStr">
        <is>
          <t>HOLLOW-35x35x2.8</t>
        </is>
      </c>
      <c r="B472" s="117" t="inlineStr">
        <is>
          <t>Black hollow section 35 x 35 mm, wall 2.8 mm</t>
        </is>
      </c>
      <c r="C472" s="114">
        <f>G472/$C$393</f>
        <v/>
      </c>
      <c r="D472" s="113" t="inlineStr">
        <is>
          <t>IDR/m</t>
        </is>
      </c>
      <c r="E472" s="113" t="inlineStr">
        <is>
          <t>smsperkasa.com, price per 6 m bar</t>
        </is>
      </c>
      <c r="F472" s="130" t="n">
        <v>18.46</v>
      </c>
      <c r="G472" s="131" t="n">
        <v>233700</v>
      </c>
      <c r="H472" s="132">
        <f>G472/F472</f>
        <v/>
      </c>
    </row>
    <row r="473">
      <c r="A473" s="113" t="inlineStr">
        <is>
          <t>HOLLOW-35x35x3</t>
        </is>
      </c>
      <c r="B473" s="117" t="inlineStr">
        <is>
          <t>Black hollow section 35 x 35 mm, wall 3 mm</t>
        </is>
      </c>
      <c r="C473" s="114">
        <f>G473/$C$393</f>
        <v/>
      </c>
      <c r="D473" s="113" t="inlineStr">
        <is>
          <t>IDR/m</t>
        </is>
      </c>
      <c r="E473" s="113" t="inlineStr">
        <is>
          <t>smsperkasa.com, price per 6 m bar</t>
        </is>
      </c>
      <c r="F473" s="130" t="n">
        <v>19.78</v>
      </c>
      <c r="G473" s="131" t="n">
        <v>264200</v>
      </c>
      <c r="H473" s="132">
        <f>G473/F473</f>
        <v/>
      </c>
    </row>
    <row r="474">
      <c r="A474" s="113" t="inlineStr">
        <is>
          <t>HOLLOW-35x35x3.2</t>
        </is>
      </c>
      <c r="B474" s="117" t="inlineStr">
        <is>
          <t>Black hollow section 35 x 35 mm, wall 3.2 mm</t>
        </is>
      </c>
      <c r="C474" s="114">
        <f>G474/$C$393</f>
        <v/>
      </c>
      <c r="D474" s="113" t="inlineStr">
        <is>
          <t>IDR/m</t>
        </is>
      </c>
      <c r="E474" s="113" t="inlineStr">
        <is>
          <t>smsperkasa.com, price per 6 m bar</t>
        </is>
      </c>
      <c r="F474" s="130" t="n">
        <v>21.1</v>
      </c>
      <c r="G474" s="131" t="n">
        <v>282500</v>
      </c>
      <c r="H474" s="132">
        <f>G474/F474</f>
        <v/>
      </c>
    </row>
    <row r="475">
      <c r="A475" s="113" t="inlineStr">
        <is>
          <t>HOLLOW-40x40x0.8</t>
        </is>
      </c>
      <c r="B475" s="117" t="inlineStr">
        <is>
          <t>Black hollow section 40 x 40 mm, wall 0.8 mm</t>
        </is>
      </c>
      <c r="C475" s="114">
        <f>G475/$C$393</f>
        <v/>
      </c>
      <c r="D475" s="113" t="inlineStr">
        <is>
          <t>IDR/m</t>
        </is>
      </c>
      <c r="E475" s="113" t="inlineStr">
        <is>
          <t>smsperkasa.com, price per 6 m bar</t>
        </is>
      </c>
      <c r="F475" s="130" t="n">
        <v>6.03</v>
      </c>
      <c r="G475" s="131" t="n">
        <v>81800</v>
      </c>
      <c r="H475" s="132">
        <f>G475/F475</f>
        <v/>
      </c>
    </row>
    <row r="476">
      <c r="A476" s="113" t="inlineStr">
        <is>
          <t>HOLLOW-40x40x1</t>
        </is>
      </c>
      <c r="B476" s="117" t="inlineStr">
        <is>
          <t>Black hollow section 40 x 40 mm, wall 1 mm</t>
        </is>
      </c>
      <c r="C476" s="114">
        <f>G476/$C$393</f>
        <v/>
      </c>
      <c r="D476" s="113" t="inlineStr">
        <is>
          <t>IDR/m</t>
        </is>
      </c>
      <c r="E476" s="113" t="inlineStr">
        <is>
          <t>smsperkasa.com, price per 6 m bar</t>
        </is>
      </c>
      <c r="F476" s="130" t="n">
        <v>7.54</v>
      </c>
      <c r="G476" s="131" t="n">
        <v>105200</v>
      </c>
      <c r="H476" s="132">
        <f>G476/F476</f>
        <v/>
      </c>
    </row>
    <row r="477">
      <c r="A477" s="113" t="inlineStr">
        <is>
          <t>HOLLOW-40x40x1.2</t>
        </is>
      </c>
      <c r="B477" s="117" t="inlineStr">
        <is>
          <t>Black hollow section 40 x 40 mm, wall 1.2 mm</t>
        </is>
      </c>
      <c r="C477" s="114">
        <f>G477/$C$393</f>
        <v/>
      </c>
      <c r="D477" s="113" t="inlineStr">
        <is>
          <t>IDR/m</t>
        </is>
      </c>
      <c r="E477" s="113" t="inlineStr">
        <is>
          <t>smsperkasa.com, price per 6 m bar</t>
        </is>
      </c>
      <c r="F477" s="130" t="n">
        <v>9.039999999999999</v>
      </c>
      <c r="G477" s="131" t="n">
        <v>123700</v>
      </c>
      <c r="H477" s="132">
        <f>G477/F477</f>
        <v/>
      </c>
    </row>
    <row r="478">
      <c r="A478" s="113" t="inlineStr">
        <is>
          <t>HOLLOW-40x40x1.8</t>
        </is>
      </c>
      <c r="B478" s="117" t="inlineStr">
        <is>
          <t>Black hollow section 40 x 40 mm, wall 1.8 mm</t>
        </is>
      </c>
      <c r="C478" s="114">
        <f>G478/$C$393</f>
        <v/>
      </c>
      <c r="D478" s="113" t="inlineStr">
        <is>
          <t>IDR/m</t>
        </is>
      </c>
      <c r="E478" s="113" t="inlineStr">
        <is>
          <t>smsperkasa.com, price per 6 m bar</t>
        </is>
      </c>
      <c r="F478" s="130" t="n">
        <v>13.56</v>
      </c>
      <c r="G478" s="131" t="n">
        <v>170600</v>
      </c>
      <c r="H478" s="132">
        <f>G478/F478</f>
        <v/>
      </c>
    </row>
    <row r="479">
      <c r="A479" s="113" t="inlineStr">
        <is>
          <t>HOLLOW-40x40x2</t>
        </is>
      </c>
      <c r="B479" s="117" t="inlineStr">
        <is>
          <t>Black hollow section 40 x 40 mm, wall 2 mm</t>
        </is>
      </c>
      <c r="C479" s="114">
        <f>G479/$C$393</f>
        <v/>
      </c>
      <c r="D479" s="113" t="inlineStr">
        <is>
          <t>IDR/m</t>
        </is>
      </c>
      <c r="E479" s="113" t="inlineStr">
        <is>
          <t>smsperkasa.com, price per 6 m bar</t>
        </is>
      </c>
      <c r="F479" s="130" t="n">
        <v>15.07</v>
      </c>
      <c r="G479" s="131" t="n">
        <v>188600</v>
      </c>
      <c r="H479" s="132">
        <f>G479/F479</f>
        <v/>
      </c>
    </row>
    <row r="480">
      <c r="A480" s="113" t="inlineStr">
        <is>
          <t>HOLLOW-40x40x2.3</t>
        </is>
      </c>
      <c r="B480" s="117" t="inlineStr">
        <is>
          <t>Black hollow section 40 x 40 mm, wall 2.3 mm</t>
        </is>
      </c>
      <c r="C480" s="114">
        <f>G480/$C$393</f>
        <v/>
      </c>
      <c r="D480" s="113" t="inlineStr">
        <is>
          <t>IDR/m</t>
        </is>
      </c>
      <c r="E480" s="113" t="inlineStr">
        <is>
          <t>smsperkasa.com, price per 6 m bar</t>
        </is>
      </c>
      <c r="F480" s="130" t="n">
        <v>17.33</v>
      </c>
      <c r="G480" s="131" t="n">
        <v>221800</v>
      </c>
      <c r="H480" s="132">
        <f>G480/F480</f>
        <v/>
      </c>
    </row>
    <row r="481">
      <c r="A481" s="113" t="inlineStr">
        <is>
          <t>HOLLOW-40x40x2.5</t>
        </is>
      </c>
      <c r="B481" s="117" t="inlineStr">
        <is>
          <t>Black hollow section 40 x 40 mm, wall 2.5 mm</t>
        </is>
      </c>
      <c r="C481" s="114">
        <f>G481/$C$393</f>
        <v/>
      </c>
      <c r="D481" s="113" t="inlineStr">
        <is>
          <t>IDR/m</t>
        </is>
      </c>
      <c r="E481" s="113" t="inlineStr">
        <is>
          <t>smsperkasa.com, price per 6 m bar</t>
        </is>
      </c>
      <c r="F481" s="130" t="n">
        <v>18.84</v>
      </c>
      <c r="G481" s="131" t="n">
        <v>244600</v>
      </c>
      <c r="H481" s="132">
        <f>G481/F481</f>
        <v/>
      </c>
    </row>
    <row r="482">
      <c r="A482" s="113" t="inlineStr">
        <is>
          <t>HOLLOW-40x40x2.8</t>
        </is>
      </c>
      <c r="B482" s="117" t="inlineStr">
        <is>
          <t>Black hollow section 40 x 40 mm, wall 2.8 mm</t>
        </is>
      </c>
      <c r="C482" s="114">
        <f>G482/$C$393</f>
        <v/>
      </c>
      <c r="D482" s="113" t="inlineStr">
        <is>
          <t>IDR/m</t>
        </is>
      </c>
      <c r="E482" s="113" t="inlineStr">
        <is>
          <t>smsperkasa.com, price per 6 m bar</t>
        </is>
      </c>
      <c r="F482" s="130" t="n">
        <v>21.1</v>
      </c>
      <c r="G482" s="131" t="n">
        <v>268100</v>
      </c>
      <c r="H482" s="132">
        <f>G482/F482</f>
        <v/>
      </c>
    </row>
    <row r="483">
      <c r="A483" s="113" t="inlineStr">
        <is>
          <t>HOLLOW-40x40x3</t>
        </is>
      </c>
      <c r="B483" s="117" t="inlineStr">
        <is>
          <t>Black hollow section 40 x 40 mm, wall 3 mm</t>
        </is>
      </c>
      <c r="C483" s="114">
        <f>G483/$C$393</f>
        <v/>
      </c>
      <c r="D483" s="113" t="inlineStr">
        <is>
          <t>IDR/m</t>
        </is>
      </c>
      <c r="E483" s="113" t="inlineStr">
        <is>
          <t>smsperkasa.com, price per 6 m bar</t>
        </is>
      </c>
      <c r="F483" s="130" t="n">
        <v>22.61</v>
      </c>
      <c r="G483" s="131" t="n">
        <v>303100</v>
      </c>
      <c r="H483" s="132">
        <f>G483/F483</f>
        <v/>
      </c>
    </row>
    <row r="484">
      <c r="A484" s="113" t="inlineStr">
        <is>
          <t>HOLLOW-40x40x3.2</t>
        </is>
      </c>
      <c r="B484" s="117" t="inlineStr">
        <is>
          <t>Black hollow section 40 x 40 mm, wall 3.2 mm</t>
        </is>
      </c>
      <c r="C484" s="114">
        <f>G484/$C$393</f>
        <v/>
      </c>
      <c r="D484" s="113" t="inlineStr">
        <is>
          <t>IDR/m</t>
        </is>
      </c>
      <c r="E484" s="113" t="inlineStr">
        <is>
          <t>smsperkasa.com, price per 6 m bar</t>
        </is>
      </c>
      <c r="F484" s="130" t="n">
        <v>24.12</v>
      </c>
      <c r="G484" s="131" t="n">
        <v>323900</v>
      </c>
      <c r="H484" s="132">
        <f>G484/F484</f>
        <v/>
      </c>
    </row>
    <row r="485">
      <c r="A485" s="113" t="inlineStr">
        <is>
          <t>HOLLOW-40x40x3.5</t>
        </is>
      </c>
      <c r="B485" s="117" t="inlineStr">
        <is>
          <t>Black hollow section 40 x 40 mm, wall 3.5 mm</t>
        </is>
      </c>
      <c r="C485" s="114">
        <f>G485/$C$393</f>
        <v/>
      </c>
      <c r="D485" s="113" t="inlineStr">
        <is>
          <t>IDR/m</t>
        </is>
      </c>
      <c r="E485" s="113" t="inlineStr">
        <is>
          <t>smsperkasa.com, price per 6 m bar</t>
        </is>
      </c>
      <c r="F485" s="130" t="n">
        <v>26.38</v>
      </c>
      <c r="G485" s="131" t="n">
        <v>538400</v>
      </c>
      <c r="H485" s="132">
        <f>G485/F485</f>
        <v/>
      </c>
    </row>
    <row r="486">
      <c r="A486" s="113" t="inlineStr">
        <is>
          <t>HOLLOW-40x40x3.8</t>
        </is>
      </c>
      <c r="B486" s="117" t="inlineStr">
        <is>
          <t>Black hollow section 40 x 40 mm, wall 3.8 mm</t>
        </is>
      </c>
      <c r="C486" s="114">
        <f>G486/$C$393</f>
        <v/>
      </c>
      <c r="D486" s="113" t="inlineStr">
        <is>
          <t>IDR/m</t>
        </is>
      </c>
      <c r="E486" s="113" t="inlineStr">
        <is>
          <t>smsperkasa.com, price per 6 m bar</t>
        </is>
      </c>
      <c r="F486" s="130" t="n">
        <v>28.64</v>
      </c>
      <c r="G486" s="131" t="n">
        <v>584500</v>
      </c>
      <c r="H486" s="132">
        <f>G486/F486</f>
        <v/>
      </c>
    </row>
    <row r="487">
      <c r="A487" s="113" t="inlineStr">
        <is>
          <t>HOLLOW-40x40x4</t>
        </is>
      </c>
      <c r="B487" s="117" t="inlineStr">
        <is>
          <t>Black hollow section 40 x 40 mm, wall 4 mm</t>
        </is>
      </c>
      <c r="C487" s="114">
        <f>G487/$C$393</f>
        <v/>
      </c>
      <c r="D487" s="113" t="inlineStr">
        <is>
          <t>IDR/m</t>
        </is>
      </c>
      <c r="E487" s="113" t="inlineStr">
        <is>
          <t>smsperkasa.com, price per 6 m bar</t>
        </is>
      </c>
      <c r="F487" s="130" t="n">
        <v>30.14</v>
      </c>
      <c r="G487" s="131" t="n">
        <v>615200</v>
      </c>
      <c r="H487" s="132">
        <f>G487/F487</f>
        <v/>
      </c>
    </row>
    <row r="488">
      <c r="A488" s="113" t="inlineStr">
        <is>
          <t>HOLLOW-40x60x1</t>
        </is>
      </c>
      <c r="B488" s="117" t="inlineStr">
        <is>
          <t>Black hollow section 40 x 60 mm, wall 1 mm</t>
        </is>
      </c>
      <c r="C488" s="114">
        <f>G488/$C$393</f>
        <v/>
      </c>
      <c r="D488" s="113" t="inlineStr">
        <is>
          <t>IDR/m</t>
        </is>
      </c>
      <c r="E488" s="113" t="inlineStr">
        <is>
          <t>smsperkasa.com, price per 6 m bar</t>
        </is>
      </c>
      <c r="F488" s="130" t="n">
        <v>9.42</v>
      </c>
      <c r="G488" s="131" t="n">
        <v>132100</v>
      </c>
      <c r="H488" s="132">
        <f>G488/F488</f>
        <v/>
      </c>
    </row>
    <row r="489">
      <c r="A489" s="113" t="inlineStr">
        <is>
          <t>HOLLOW-40x60x1.2</t>
        </is>
      </c>
      <c r="B489" s="117" t="inlineStr">
        <is>
          <t>Black hollow section 40 x 60 mm, wall 1.2 mm</t>
        </is>
      </c>
      <c r="C489" s="114">
        <f>G489/$C$393</f>
        <v/>
      </c>
      <c r="D489" s="113" t="inlineStr">
        <is>
          <t>IDR/m</t>
        </is>
      </c>
      <c r="E489" s="113" t="inlineStr">
        <is>
          <t>smsperkasa.com, price per 6 m bar</t>
        </is>
      </c>
      <c r="F489" s="130" t="n">
        <v>11.3</v>
      </c>
      <c r="G489" s="131" t="n">
        <v>155500</v>
      </c>
      <c r="H489" s="132">
        <f>G489/F489</f>
        <v/>
      </c>
    </row>
    <row r="490">
      <c r="A490" s="113" t="inlineStr">
        <is>
          <t>HOLLOW-40x60x1.8</t>
        </is>
      </c>
      <c r="B490" s="117" t="inlineStr">
        <is>
          <t>Black hollow section 40 x 60 mm, wall 1.8 mm</t>
        </is>
      </c>
      <c r="C490" s="114">
        <f>G490/$C$393</f>
        <v/>
      </c>
      <c r="D490" s="113" t="inlineStr">
        <is>
          <t>IDR/m</t>
        </is>
      </c>
      <c r="E490" s="113" t="inlineStr">
        <is>
          <t>smsperkasa.com, price per 6 m bar</t>
        </is>
      </c>
      <c r="F490" s="130" t="n">
        <v>16.96</v>
      </c>
      <c r="G490" s="131" t="n">
        <v>214200</v>
      </c>
      <c r="H490" s="132">
        <f>G490/F490</f>
        <v/>
      </c>
    </row>
    <row r="491">
      <c r="A491" s="113" t="inlineStr">
        <is>
          <t>HOLLOW-40x60x2</t>
        </is>
      </c>
      <c r="B491" s="117" t="inlineStr">
        <is>
          <t>Black hollow section 40 x 60 mm, wall 2 mm</t>
        </is>
      </c>
      <c r="C491" s="114">
        <f>G491/$C$393</f>
        <v/>
      </c>
      <c r="D491" s="113" t="inlineStr">
        <is>
          <t>IDR/m</t>
        </is>
      </c>
      <c r="E491" s="113" t="inlineStr">
        <is>
          <t>smsperkasa.com, price per 6 m bar</t>
        </is>
      </c>
      <c r="F491" s="130" t="n">
        <v>18.84</v>
      </c>
      <c r="G491" s="131" t="n">
        <v>239700</v>
      </c>
      <c r="H491" s="132">
        <f>G491/F491</f>
        <v/>
      </c>
    </row>
    <row r="492">
      <c r="A492" s="113" t="inlineStr">
        <is>
          <t>HOLLOW-40x60x2.3</t>
        </is>
      </c>
      <c r="B492" s="117" t="inlineStr">
        <is>
          <t>Black hollow section 40 x 60 mm, wall 2.3 mm</t>
        </is>
      </c>
      <c r="C492" s="114">
        <f>G492/$C$393</f>
        <v/>
      </c>
      <c r="D492" s="113" t="inlineStr">
        <is>
          <t>IDR/m</t>
        </is>
      </c>
      <c r="E492" s="113" t="inlineStr">
        <is>
          <t>smsperkasa.com, price per 6 m bar</t>
        </is>
      </c>
      <c r="F492" s="130" t="n">
        <v>21.67</v>
      </c>
      <c r="G492" s="131" t="n">
        <v>278600</v>
      </c>
      <c r="H492" s="132">
        <f>G492/F492</f>
        <v/>
      </c>
    </row>
    <row r="493">
      <c r="A493" s="113" t="inlineStr">
        <is>
          <t>HOLLOW-40x60x2.5</t>
        </is>
      </c>
      <c r="B493" s="117" t="inlineStr">
        <is>
          <t>Black hollow section 40 x 60 mm, wall 2.5 mm</t>
        </is>
      </c>
      <c r="C493" s="114">
        <f>G493/$C$393</f>
        <v/>
      </c>
      <c r="D493" s="113" t="inlineStr">
        <is>
          <t>IDR/m</t>
        </is>
      </c>
      <c r="E493" s="113" t="inlineStr">
        <is>
          <t>smsperkasa.com, price per 6 m bar</t>
        </is>
      </c>
      <c r="F493" s="130" t="n">
        <v>23.55</v>
      </c>
      <c r="G493" s="131" t="n">
        <v>307500</v>
      </c>
      <c r="H493" s="132">
        <f>G493/F493</f>
        <v/>
      </c>
    </row>
    <row r="494">
      <c r="A494" s="113" t="inlineStr">
        <is>
          <t>HOLLOW-40x60x2.8</t>
        </is>
      </c>
      <c r="B494" s="117" t="inlineStr">
        <is>
          <t>Black hollow section 40 x 60 mm, wall 2.8 mm</t>
        </is>
      </c>
      <c r="C494" s="114">
        <f>G494/$C$393</f>
        <v/>
      </c>
      <c r="D494" s="113" t="inlineStr">
        <is>
          <t>IDR/m</t>
        </is>
      </c>
      <c r="E494" s="113" t="inlineStr">
        <is>
          <t>smsperkasa.com, price per 6 m bar</t>
        </is>
      </c>
      <c r="F494" s="130" t="n">
        <v>26.38</v>
      </c>
      <c r="G494" s="131" t="n">
        <v>336800</v>
      </c>
      <c r="H494" s="132">
        <f>G494/F494</f>
        <v/>
      </c>
    </row>
    <row r="495">
      <c r="A495" s="113" t="inlineStr">
        <is>
          <t>HOLLOW-40x60x3</t>
        </is>
      </c>
      <c r="B495" s="117" t="inlineStr">
        <is>
          <t>Black hollow section 40 x 60 mm, wall 3 mm</t>
        </is>
      </c>
      <c r="C495" s="114">
        <f>G495/$C$393</f>
        <v/>
      </c>
      <c r="D495" s="113" t="inlineStr">
        <is>
          <t>IDR/m</t>
        </is>
      </c>
      <c r="E495" s="113" t="inlineStr">
        <is>
          <t>smsperkasa.com, price per 6 m bar</t>
        </is>
      </c>
      <c r="F495" s="130" t="n">
        <v>28.26</v>
      </c>
      <c r="G495" s="131" t="n">
        <v>380700</v>
      </c>
      <c r="H495" s="132">
        <f>G495/F495</f>
        <v/>
      </c>
    </row>
    <row r="496">
      <c r="A496" s="113" t="inlineStr">
        <is>
          <t>HOLLOW-40x60x3.2</t>
        </is>
      </c>
      <c r="B496" s="117" t="inlineStr">
        <is>
          <t>Black hollow section 40 x 60 mm, wall 3.2 mm</t>
        </is>
      </c>
      <c r="C496" s="114">
        <f>G496/$C$393</f>
        <v/>
      </c>
      <c r="D496" s="113" t="inlineStr">
        <is>
          <t>IDR/m</t>
        </is>
      </c>
      <c r="E496" s="113" t="inlineStr">
        <is>
          <t>smsperkasa.com, price per 6 m bar</t>
        </is>
      </c>
      <c r="F496" s="130" t="n">
        <v>30.14</v>
      </c>
      <c r="G496" s="131" t="n">
        <v>407000</v>
      </c>
      <c r="H496" s="132">
        <f>G496/F496</f>
        <v/>
      </c>
    </row>
    <row r="497">
      <c r="A497" s="113" t="inlineStr">
        <is>
          <t>HOLLOW-40x60x3.5</t>
        </is>
      </c>
      <c r="B497" s="117" t="inlineStr">
        <is>
          <t>Black hollow section 40 x 60 mm, wall 3.5 mm</t>
        </is>
      </c>
      <c r="C497" s="114">
        <f>G497/$C$393</f>
        <v/>
      </c>
      <c r="D497" s="113" t="inlineStr">
        <is>
          <t>IDR/m</t>
        </is>
      </c>
      <c r="E497" s="113" t="inlineStr">
        <is>
          <t>smsperkasa.com, price per 6 m bar</t>
        </is>
      </c>
      <c r="F497" s="130" t="n">
        <v>32.97</v>
      </c>
      <c r="G497" s="131" t="n">
        <v>672857</v>
      </c>
      <c r="H497" s="132">
        <f>G497/F497</f>
        <v/>
      </c>
    </row>
    <row r="498">
      <c r="A498" s="113" t="inlineStr">
        <is>
          <t>HOLLOW-40x60x3.8</t>
        </is>
      </c>
      <c r="B498" s="117" t="inlineStr">
        <is>
          <t>Black hollow section 40 x 60 mm, wall 3.8 mm</t>
        </is>
      </c>
      <c r="C498" s="114">
        <f>G498/$C$393</f>
        <v/>
      </c>
      <c r="D498" s="113" t="inlineStr">
        <is>
          <t>IDR/m</t>
        </is>
      </c>
      <c r="E498" s="113" t="inlineStr">
        <is>
          <t>smsperkasa.com, price per 6 m bar</t>
        </is>
      </c>
      <c r="F498" s="130" t="n">
        <v>35.8</v>
      </c>
      <c r="G498" s="131" t="n">
        <v>730700</v>
      </c>
      <c r="H498" s="132">
        <f>G498/F498</f>
        <v/>
      </c>
    </row>
    <row r="499">
      <c r="A499" s="113" t="inlineStr">
        <is>
          <t>HOLLOW-40x60x4</t>
        </is>
      </c>
      <c r="B499" s="117" t="inlineStr">
        <is>
          <t>Black hollow section 40 x 60 mm, wall 4 mm</t>
        </is>
      </c>
      <c r="C499" s="114">
        <f>G499/$C$393</f>
        <v/>
      </c>
      <c r="D499" s="113" t="inlineStr">
        <is>
          <t>IDR/m</t>
        </is>
      </c>
      <c r="E499" s="113" t="inlineStr">
        <is>
          <t>smsperkasa.com, price per 6 m bar</t>
        </is>
      </c>
      <c r="F499" s="130" t="n">
        <v>37.68</v>
      </c>
      <c r="G499" s="131" t="n">
        <v>769000</v>
      </c>
      <c r="H499" s="132">
        <f>G499/F499</f>
        <v/>
      </c>
    </row>
    <row r="500">
      <c r="A500" s="113" t="inlineStr">
        <is>
          <t>HOLLOW-40x60x4.5</t>
        </is>
      </c>
      <c r="B500" s="117" t="inlineStr">
        <is>
          <t>Black hollow section 40 x 60 mm, wall 4.5 mm</t>
        </is>
      </c>
      <c r="C500" s="114">
        <f>G500/$C$393</f>
        <v/>
      </c>
      <c r="D500" s="113" t="inlineStr">
        <is>
          <t>IDR/m</t>
        </is>
      </c>
      <c r="E500" s="113" t="inlineStr">
        <is>
          <t>smsperkasa.com, price per 6 m bar</t>
        </is>
      </c>
      <c r="F500" s="130" t="n">
        <v>42.39</v>
      </c>
      <c r="G500" s="131" t="n">
        <v>865200</v>
      </c>
      <c r="H500" s="132">
        <f>G500/F500</f>
        <v/>
      </c>
    </row>
    <row r="501">
      <c r="A501" s="113" t="inlineStr">
        <is>
          <t>HOLLOW-40x80x1</t>
        </is>
      </c>
      <c r="B501" s="117" t="inlineStr">
        <is>
          <t>Black hollow section 40 x 80 mm, wall 1 mm</t>
        </is>
      </c>
      <c r="C501" s="114">
        <f>G501/$C$393</f>
        <v/>
      </c>
      <c r="D501" s="113" t="inlineStr">
        <is>
          <t>IDR/m</t>
        </is>
      </c>
      <c r="E501" s="113" t="inlineStr">
        <is>
          <t>smsperkasa.com, price per 6 m bar</t>
        </is>
      </c>
      <c r="F501" s="130" t="n">
        <v>11.3</v>
      </c>
      <c r="G501" s="131" t="n">
        <v>158900</v>
      </c>
      <c r="H501" s="132">
        <f>G501/F501</f>
        <v/>
      </c>
    </row>
    <row r="502">
      <c r="A502" s="113" t="inlineStr">
        <is>
          <t>HOLLOW-40x80x1.2</t>
        </is>
      </c>
      <c r="B502" s="117" t="inlineStr">
        <is>
          <t>Black hollow section 40 x 80 mm, wall 1.2 mm</t>
        </is>
      </c>
      <c r="C502" s="114">
        <f>G502/$C$393</f>
        <v/>
      </c>
      <c r="D502" s="113" t="inlineStr">
        <is>
          <t>IDR/m</t>
        </is>
      </c>
      <c r="E502" s="113" t="inlineStr">
        <is>
          <t>smsperkasa.com, price per 6 m bar</t>
        </is>
      </c>
      <c r="F502" s="130" t="n">
        <v>13.56</v>
      </c>
      <c r="G502" s="131" t="n">
        <v>187300</v>
      </c>
      <c r="H502" s="132">
        <f>G502/F502</f>
        <v/>
      </c>
    </row>
    <row r="503">
      <c r="A503" s="113" t="inlineStr">
        <is>
          <t>HOLLOW-40x80x1.8</t>
        </is>
      </c>
      <c r="B503" s="117" t="inlineStr">
        <is>
          <t>Black hollow section 40 x 80 mm, wall 1.8 mm</t>
        </is>
      </c>
      <c r="C503" s="114">
        <f>G503/$C$393</f>
        <v/>
      </c>
      <c r="D503" s="113" t="inlineStr">
        <is>
          <t>IDR/m</t>
        </is>
      </c>
      <c r="E503" s="113" t="inlineStr">
        <is>
          <t>smsperkasa.com, price per 6 m bar</t>
        </is>
      </c>
      <c r="F503" s="130" t="n">
        <v>20.35</v>
      </c>
      <c r="G503" s="131" t="n">
        <v>257800</v>
      </c>
      <c r="H503" s="132">
        <f>G503/F503</f>
        <v/>
      </c>
    </row>
    <row r="504">
      <c r="A504" s="113" t="inlineStr">
        <is>
          <t>HOLLOW-40x80x2</t>
        </is>
      </c>
      <c r="B504" s="117" t="inlineStr">
        <is>
          <t>Black hollow section 40 x 80 mm, wall 2 mm</t>
        </is>
      </c>
      <c r="C504" s="114">
        <f>G504/$C$393</f>
        <v/>
      </c>
      <c r="D504" s="113" t="inlineStr">
        <is>
          <t>IDR/m</t>
        </is>
      </c>
      <c r="E504" s="113" t="inlineStr">
        <is>
          <t>smsperkasa.com, price per 6 m bar</t>
        </is>
      </c>
      <c r="F504" s="130" t="n">
        <v>22.61</v>
      </c>
      <c r="G504" s="131" t="n">
        <v>288500</v>
      </c>
      <c r="H504" s="132">
        <f>G504/F504</f>
        <v/>
      </c>
    </row>
    <row r="505">
      <c r="A505" s="113" t="inlineStr">
        <is>
          <t>HOLLOW-40x80x2.3</t>
        </is>
      </c>
      <c r="B505" s="117" t="inlineStr">
        <is>
          <t>Black hollow section 40 x 80 mm, wall 2.3 mm</t>
        </is>
      </c>
      <c r="C505" s="114">
        <f>G505/$C$393</f>
        <v/>
      </c>
      <c r="D505" s="113" t="inlineStr">
        <is>
          <t>IDR/m</t>
        </is>
      </c>
      <c r="E505" s="113" t="inlineStr">
        <is>
          <t>smsperkasa.com, price per 6 m bar</t>
        </is>
      </c>
      <c r="F505" s="130" t="n">
        <v>26</v>
      </c>
      <c r="G505" s="131" t="n">
        <v>335500</v>
      </c>
      <c r="H505" s="132">
        <f>G505/F505</f>
        <v/>
      </c>
    </row>
    <row r="506">
      <c r="A506" s="113" t="inlineStr">
        <is>
          <t>HOLLOW-40x80x2.5</t>
        </is>
      </c>
      <c r="B506" s="117" t="inlineStr">
        <is>
          <t>Black hollow section 40 x 80 mm, wall 2.5 mm</t>
        </is>
      </c>
      <c r="C506" s="114">
        <f>G506/$C$393</f>
        <v/>
      </c>
      <c r="D506" s="113" t="inlineStr">
        <is>
          <t>IDR/m</t>
        </is>
      </c>
      <c r="E506" s="113" t="inlineStr">
        <is>
          <t>smsperkasa.com, price per 6 m bar</t>
        </is>
      </c>
      <c r="F506" s="130" t="n">
        <v>28.26</v>
      </c>
      <c r="G506" s="131" t="n">
        <v>370300</v>
      </c>
      <c r="H506" s="132">
        <f>G506/F506</f>
        <v/>
      </c>
    </row>
    <row r="507">
      <c r="A507" s="113" t="inlineStr">
        <is>
          <t>HOLLOW-40x80x2.8</t>
        </is>
      </c>
      <c r="B507" s="117" t="inlineStr">
        <is>
          <t>Black hollow section 40 x 80 mm, wall 2.8 mm</t>
        </is>
      </c>
      <c r="C507" s="114">
        <f>G507/$C$393</f>
        <v/>
      </c>
      <c r="D507" s="113" t="inlineStr">
        <is>
          <t>IDR/m</t>
        </is>
      </c>
      <c r="E507" s="113" t="inlineStr">
        <is>
          <t>smsperkasa.com, price per 6 m bar</t>
        </is>
      </c>
      <c r="F507" s="130" t="n">
        <v>31.65</v>
      </c>
      <c r="G507" s="131" t="n">
        <v>405600</v>
      </c>
      <c r="H507" s="132">
        <f>G507/F507</f>
        <v/>
      </c>
    </row>
    <row r="508">
      <c r="A508" s="113" t="inlineStr">
        <is>
          <t>HOLLOW-40x80x3</t>
        </is>
      </c>
      <c r="B508" s="117" t="inlineStr">
        <is>
          <t>Black hollow section 40 x 80 mm, wall 3 mm</t>
        </is>
      </c>
      <c r="C508" s="114">
        <f>G508/$C$393</f>
        <v/>
      </c>
      <c r="D508" s="113" t="inlineStr">
        <is>
          <t>IDR/m</t>
        </is>
      </c>
      <c r="E508" s="113" t="inlineStr">
        <is>
          <t>smsperkasa.com, price per 6 m bar</t>
        </is>
      </c>
      <c r="F508" s="130" t="n">
        <v>33.91</v>
      </c>
      <c r="G508" s="131" t="n">
        <v>458400</v>
      </c>
      <c r="H508" s="132">
        <f>G508/F508</f>
        <v/>
      </c>
    </row>
    <row r="509">
      <c r="A509" s="113" t="inlineStr">
        <is>
          <t>HOLLOW-40x80x3.2</t>
        </is>
      </c>
      <c r="B509" s="117" t="inlineStr">
        <is>
          <t>Black hollow section 40 x 80 mm, wall 3.2 mm</t>
        </is>
      </c>
      <c r="C509" s="114">
        <f>G509/$C$393</f>
        <v/>
      </c>
      <c r="D509" s="113" t="inlineStr">
        <is>
          <t>IDR/m</t>
        </is>
      </c>
      <c r="E509" s="113" t="inlineStr">
        <is>
          <t>smsperkasa.com, price per 6 m bar</t>
        </is>
      </c>
      <c r="F509" s="130" t="n">
        <v>36.17</v>
      </c>
      <c r="G509" s="131" t="n">
        <v>490000</v>
      </c>
      <c r="H509" s="132">
        <f>G509/F509</f>
        <v/>
      </c>
    </row>
    <row r="510">
      <c r="A510" s="113" t="inlineStr">
        <is>
          <t>HOLLOW-40x80x3.5</t>
        </is>
      </c>
      <c r="B510" s="117" t="inlineStr">
        <is>
          <t>Black hollow section 40 x 80 mm, wall 3.5 mm</t>
        </is>
      </c>
      <c r="C510" s="114">
        <f>G510/$C$393</f>
        <v/>
      </c>
      <c r="D510" s="113" t="inlineStr">
        <is>
          <t>IDR/m</t>
        </is>
      </c>
      <c r="E510" s="113" t="inlineStr">
        <is>
          <t>smsperkasa.com, price per 6 m bar</t>
        </is>
      </c>
      <c r="F510" s="130" t="n">
        <v>39.56</v>
      </c>
      <c r="G510" s="131" t="n">
        <v>807346</v>
      </c>
      <c r="H510" s="132">
        <f>G510/F510</f>
        <v/>
      </c>
    </row>
    <row r="511">
      <c r="A511" s="113" t="inlineStr">
        <is>
          <t>HOLLOW-40x80x3.8</t>
        </is>
      </c>
      <c r="B511" s="117" t="inlineStr">
        <is>
          <t>Black hollow section 40 x 80 mm, wall 3.8 mm</t>
        </is>
      </c>
      <c r="C511" s="114">
        <f>G511/$C$393</f>
        <v/>
      </c>
      <c r="D511" s="113" t="inlineStr">
        <is>
          <t>IDR/m</t>
        </is>
      </c>
      <c r="E511" s="113" t="inlineStr">
        <is>
          <t>smsperkasa.com, price per 6 m bar</t>
        </is>
      </c>
      <c r="F511" s="130" t="n">
        <v>42.96</v>
      </c>
      <c r="G511" s="131" t="n">
        <v>876800</v>
      </c>
      <c r="H511" s="132">
        <f>G511/F511</f>
        <v/>
      </c>
    </row>
    <row r="512">
      <c r="A512" s="113" t="inlineStr">
        <is>
          <t>HOLLOW-40x80x4</t>
        </is>
      </c>
      <c r="B512" s="117" t="inlineStr">
        <is>
          <t>Black hollow section 40 x 80 mm, wall 4 mm</t>
        </is>
      </c>
      <c r="C512" s="114">
        <f>G512/$C$393</f>
        <v/>
      </c>
      <c r="D512" s="113" t="inlineStr">
        <is>
          <t>IDR/m</t>
        </is>
      </c>
      <c r="E512" s="113" t="inlineStr">
        <is>
          <t>smsperkasa.com, price per 6 m bar</t>
        </is>
      </c>
      <c r="F512" s="130" t="n">
        <v>45.22</v>
      </c>
      <c r="G512" s="131" t="n">
        <v>922900</v>
      </c>
      <c r="H512" s="132">
        <f>G512/F512</f>
        <v/>
      </c>
    </row>
    <row r="513">
      <c r="A513" s="113" t="inlineStr">
        <is>
          <t>HOLLOW-40x80x4.5</t>
        </is>
      </c>
      <c r="B513" s="117" t="inlineStr">
        <is>
          <t>Black hollow section 40 x 80 mm, wall 4.5 mm</t>
        </is>
      </c>
      <c r="C513" s="114">
        <f>G513/$C$393</f>
        <v/>
      </c>
      <c r="D513" s="113" t="inlineStr">
        <is>
          <t>IDR/m</t>
        </is>
      </c>
      <c r="E513" s="113" t="inlineStr">
        <is>
          <t>smsperkasa.com, price per 6 m bar</t>
        </is>
      </c>
      <c r="F513" s="130" t="n">
        <v>50.87</v>
      </c>
      <c r="G513" s="131" t="n">
        <v>1038200</v>
      </c>
      <c r="H513" s="132">
        <f>G513/F513</f>
        <v/>
      </c>
    </row>
    <row r="514">
      <c r="A514" s="113" t="inlineStr">
        <is>
          <t>HOLLOW-45x45x1</t>
        </is>
      </c>
      <c r="B514" s="117" t="inlineStr">
        <is>
          <t>Black hollow section 45 x 45 mm, wall 1 mm</t>
        </is>
      </c>
      <c r="C514" s="114">
        <f>G514/$C$393</f>
        <v/>
      </c>
      <c r="D514" s="113" t="inlineStr">
        <is>
          <t>IDR/m</t>
        </is>
      </c>
      <c r="E514" s="113" t="inlineStr">
        <is>
          <t>smsperkasa.com, price per 6 m bar</t>
        </is>
      </c>
      <c r="F514" s="130" t="n">
        <v>8.48</v>
      </c>
      <c r="G514" s="131" t="n">
        <v>118600</v>
      </c>
      <c r="H514" s="132">
        <f>G514/F514</f>
        <v/>
      </c>
    </row>
    <row r="515">
      <c r="A515" s="113" t="inlineStr">
        <is>
          <t>HOLLOW-45x45x1.2</t>
        </is>
      </c>
      <c r="B515" s="117" t="inlineStr">
        <is>
          <t>Black hollow section 45 x 45 mm, wall 1.2 mm</t>
        </is>
      </c>
      <c r="C515" s="114">
        <f>G515/$C$393</f>
        <v/>
      </c>
      <c r="D515" s="113" t="inlineStr">
        <is>
          <t>IDR/m</t>
        </is>
      </c>
      <c r="E515" s="113" t="inlineStr">
        <is>
          <t>smsperkasa.com, price per 6 m bar</t>
        </is>
      </c>
      <c r="F515" s="130" t="n">
        <v>10.17</v>
      </c>
      <c r="G515" s="131" t="n">
        <v>139600</v>
      </c>
      <c r="H515" s="132">
        <f>G515/F515</f>
        <v/>
      </c>
    </row>
    <row r="516">
      <c r="A516" s="113" t="inlineStr">
        <is>
          <t>HOLLOW-45x45x1.8</t>
        </is>
      </c>
      <c r="B516" s="117" t="inlineStr">
        <is>
          <t>Black hollow section 45 x 45 mm, wall 1.8 mm</t>
        </is>
      </c>
      <c r="C516" s="114">
        <f>G516/$C$393</f>
        <v/>
      </c>
      <c r="D516" s="113" t="inlineStr">
        <is>
          <t>IDR/m</t>
        </is>
      </c>
      <c r="E516" s="113" t="inlineStr">
        <is>
          <t>smsperkasa.com, price per 6 m bar</t>
        </is>
      </c>
      <c r="F516" s="130" t="n">
        <v>15.26</v>
      </c>
      <c r="G516" s="131" t="n">
        <v>192300</v>
      </c>
      <c r="H516" s="132">
        <f>G516/F516</f>
        <v/>
      </c>
    </row>
    <row r="517">
      <c r="A517" s="113" t="inlineStr">
        <is>
          <t>HOLLOW-45x75x1.2</t>
        </is>
      </c>
      <c r="B517" s="117" t="inlineStr">
        <is>
          <t>Black hollow section 45 x 75 mm, wall 1.2 mm</t>
        </is>
      </c>
      <c r="C517" s="114">
        <f>G517/$C$393</f>
        <v/>
      </c>
      <c r="D517" s="113" t="inlineStr">
        <is>
          <t>IDR/m</t>
        </is>
      </c>
      <c r="E517" s="113" t="inlineStr">
        <is>
          <t>smsperkasa.com, price per 6 m bar</t>
        </is>
      </c>
      <c r="F517" s="130" t="n">
        <v>13.56</v>
      </c>
      <c r="G517" s="131" t="n">
        <v>187300</v>
      </c>
      <c r="H517" s="132">
        <f>G517/F517</f>
        <v/>
      </c>
    </row>
    <row r="518">
      <c r="A518" s="113" t="inlineStr">
        <is>
          <t>HOLLOW-45x75x1.8</t>
        </is>
      </c>
      <c r="B518" s="117" t="inlineStr">
        <is>
          <t>Black hollow section 45 x 75 mm, wall 1.8 mm</t>
        </is>
      </c>
      <c r="C518" s="114">
        <f>G518/$C$393</f>
        <v/>
      </c>
      <c r="D518" s="113" t="inlineStr">
        <is>
          <t>IDR/m</t>
        </is>
      </c>
      <c r="E518" s="113" t="inlineStr">
        <is>
          <t>smsperkasa.com, price per 6 m bar</t>
        </is>
      </c>
      <c r="F518" s="130" t="n">
        <v>20.35</v>
      </c>
      <c r="G518" s="131" t="n">
        <v>257800</v>
      </c>
      <c r="H518" s="132">
        <f>G518/F518</f>
        <v/>
      </c>
    </row>
    <row r="519">
      <c r="A519" s="113" t="inlineStr">
        <is>
          <t>HOLLOW-45x75x2</t>
        </is>
      </c>
      <c r="B519" s="117" t="inlineStr">
        <is>
          <t>Black hollow section 45 x 75 mm, wall 2 mm</t>
        </is>
      </c>
      <c r="C519" s="114">
        <f>G519/$C$393</f>
        <v/>
      </c>
      <c r="D519" s="113" t="inlineStr">
        <is>
          <t>IDR/m</t>
        </is>
      </c>
      <c r="E519" s="113" t="inlineStr">
        <is>
          <t>smsperkasa.com, price per 6 m bar</t>
        </is>
      </c>
      <c r="F519" s="130" t="n">
        <v>22.61</v>
      </c>
      <c r="G519" s="131" t="n">
        <v>288500</v>
      </c>
      <c r="H519" s="132">
        <f>G519/F519</f>
        <v/>
      </c>
    </row>
    <row r="520">
      <c r="A520" s="113" t="inlineStr">
        <is>
          <t>HOLLOW-45x75x2.3</t>
        </is>
      </c>
      <c r="B520" s="117" t="inlineStr">
        <is>
          <t>Black hollow section 45 x 75 mm, wall 2.3 mm</t>
        </is>
      </c>
      <c r="C520" s="114">
        <f>G520/$C$393</f>
        <v/>
      </c>
      <c r="D520" s="113" t="inlineStr">
        <is>
          <t>IDR/m</t>
        </is>
      </c>
      <c r="E520" s="113" t="inlineStr">
        <is>
          <t>smsperkasa.com, price per 6 m bar</t>
        </is>
      </c>
      <c r="F520" s="130" t="n">
        <v>26</v>
      </c>
      <c r="G520" s="131" t="n">
        <v>335500</v>
      </c>
      <c r="H520" s="132">
        <f>G520/F520</f>
        <v/>
      </c>
    </row>
    <row r="521">
      <c r="A521" s="113" t="inlineStr">
        <is>
          <t>HOLLOW-45x75x2.5</t>
        </is>
      </c>
      <c r="B521" s="117" t="inlineStr">
        <is>
          <t>Black hollow section 45 x 75 mm, wall 2.5 mm</t>
        </is>
      </c>
      <c r="C521" s="114">
        <f>G521/$C$393</f>
        <v/>
      </c>
      <c r="D521" s="113" t="inlineStr">
        <is>
          <t>IDR/m</t>
        </is>
      </c>
      <c r="E521" s="113" t="inlineStr">
        <is>
          <t>smsperkasa.com, price per 6 m bar</t>
        </is>
      </c>
      <c r="F521" s="130" t="n">
        <v>28.26</v>
      </c>
      <c r="G521" s="131" t="n">
        <v>370300</v>
      </c>
      <c r="H521" s="132">
        <f>G521/F521</f>
        <v/>
      </c>
    </row>
    <row r="522">
      <c r="A522" s="113" t="inlineStr">
        <is>
          <t>HOLLOW-45x75x2.8</t>
        </is>
      </c>
      <c r="B522" s="117" t="inlineStr">
        <is>
          <t>Black hollow section 45 x 75 mm, wall 2.8 mm</t>
        </is>
      </c>
      <c r="C522" s="114">
        <f>G522/$C$393</f>
        <v/>
      </c>
      <c r="D522" s="113" t="inlineStr">
        <is>
          <t>IDR/m</t>
        </is>
      </c>
      <c r="E522" s="113" t="inlineStr">
        <is>
          <t>smsperkasa.com, price per 6 m bar</t>
        </is>
      </c>
      <c r="F522" s="130" t="n">
        <v>31.65</v>
      </c>
      <c r="G522" s="131" t="n">
        <v>405600</v>
      </c>
      <c r="H522" s="132">
        <f>G522/F522</f>
        <v/>
      </c>
    </row>
    <row r="523">
      <c r="A523" s="113" t="inlineStr">
        <is>
          <t>HOLLOW-45x75x3</t>
        </is>
      </c>
      <c r="B523" s="117" t="inlineStr">
        <is>
          <t>Black hollow section 45 x 75 mm, wall 3 mm</t>
        </is>
      </c>
      <c r="C523" s="114">
        <f>G523/$C$393</f>
        <v/>
      </c>
      <c r="D523" s="113" t="inlineStr">
        <is>
          <t>IDR/m</t>
        </is>
      </c>
      <c r="E523" s="113" t="inlineStr">
        <is>
          <t>smsperkasa.com, price per 6 m bar</t>
        </is>
      </c>
      <c r="F523" s="130" t="n">
        <v>33.91</v>
      </c>
      <c r="G523" s="131" t="n">
        <v>458400</v>
      </c>
      <c r="H523" s="132">
        <f>G523/F523</f>
        <v/>
      </c>
    </row>
    <row r="524">
      <c r="A524" s="113" t="inlineStr">
        <is>
          <t>HOLLOW-45x75x3.2</t>
        </is>
      </c>
      <c r="B524" s="117" t="inlineStr">
        <is>
          <t>Black hollow section 45 x 75 mm, wall 3.2 mm</t>
        </is>
      </c>
      <c r="C524" s="114">
        <f>G524/$C$393</f>
        <v/>
      </c>
      <c r="D524" s="113" t="inlineStr">
        <is>
          <t>IDR/m</t>
        </is>
      </c>
      <c r="E524" s="113" t="inlineStr">
        <is>
          <t>smsperkasa.com, price per 6 m bar</t>
        </is>
      </c>
      <c r="F524" s="130" t="n">
        <v>36.17</v>
      </c>
      <c r="G524" s="131" t="n">
        <v>490000</v>
      </c>
      <c r="H524" s="132">
        <f>G524/F524</f>
        <v/>
      </c>
    </row>
    <row r="525">
      <c r="A525" s="113" t="inlineStr">
        <is>
          <t>HOLLOW-45x75x3.5</t>
        </is>
      </c>
      <c r="B525" s="117" t="inlineStr">
        <is>
          <t>Black hollow section 45 x 75 mm, wall 3.5 mm</t>
        </is>
      </c>
      <c r="C525" s="114">
        <f>G525/$C$393</f>
        <v/>
      </c>
      <c r="D525" s="113" t="inlineStr">
        <is>
          <t>IDR/m</t>
        </is>
      </c>
      <c r="E525" s="113" t="inlineStr">
        <is>
          <t>smsperkasa.com, price per 6 m bar</t>
        </is>
      </c>
      <c r="F525" s="130" t="n">
        <v>39.56</v>
      </c>
      <c r="G525" s="131" t="n">
        <v>807346</v>
      </c>
      <c r="H525" s="132">
        <f>G525/F525</f>
        <v/>
      </c>
    </row>
    <row r="526">
      <c r="A526" s="113" t="inlineStr">
        <is>
          <t>HOLLOW-45x75x3.8</t>
        </is>
      </c>
      <c r="B526" s="117" t="inlineStr">
        <is>
          <t>Black hollow section 45 x 75 mm, wall 3.8 mm</t>
        </is>
      </c>
      <c r="C526" s="114">
        <f>G526/$C$393</f>
        <v/>
      </c>
      <c r="D526" s="113" t="inlineStr">
        <is>
          <t>IDR/m</t>
        </is>
      </c>
      <c r="E526" s="113" t="inlineStr">
        <is>
          <t>smsperkasa.com, price per 6 m bar</t>
        </is>
      </c>
      <c r="F526" s="130" t="n">
        <v>42.96</v>
      </c>
      <c r="G526" s="131" t="n">
        <v>876800</v>
      </c>
      <c r="H526" s="132">
        <f>G526/F526</f>
        <v/>
      </c>
    </row>
    <row r="527">
      <c r="A527" s="113" t="inlineStr">
        <is>
          <t>HOLLOW-45x75x4</t>
        </is>
      </c>
      <c r="B527" s="117" t="inlineStr">
        <is>
          <t>Black hollow section 45 x 75 mm, wall 4 mm</t>
        </is>
      </c>
      <c r="C527" s="114">
        <f>G527/$C$393</f>
        <v/>
      </c>
      <c r="D527" s="113" t="inlineStr">
        <is>
          <t>IDR/m</t>
        </is>
      </c>
      <c r="E527" s="113" t="inlineStr">
        <is>
          <t>smsperkasa.com, price per 6 m bar</t>
        </is>
      </c>
      <c r="F527" s="130" t="n">
        <v>45.22</v>
      </c>
      <c r="G527" s="131" t="n">
        <v>922900</v>
      </c>
      <c r="H527" s="132">
        <f>G527/F527</f>
        <v/>
      </c>
    </row>
    <row r="528">
      <c r="A528" s="113" t="inlineStr">
        <is>
          <t>HOLLOW-45x75x4.5</t>
        </is>
      </c>
      <c r="B528" s="117" t="inlineStr">
        <is>
          <t>Black hollow section 45 x 75 mm, wall 4.5 mm</t>
        </is>
      </c>
      <c r="C528" s="114">
        <f>G528/$C$393</f>
        <v/>
      </c>
      <c r="D528" s="113" t="inlineStr">
        <is>
          <t>IDR/m</t>
        </is>
      </c>
      <c r="E528" s="113" t="inlineStr">
        <is>
          <t>smsperkasa.com, price per 6 m bar</t>
        </is>
      </c>
      <c r="F528" s="130" t="n">
        <v>50.87</v>
      </c>
      <c r="G528" s="131" t="n">
        <v>1038200</v>
      </c>
      <c r="H528" s="132">
        <f>G528/F528</f>
        <v/>
      </c>
    </row>
    <row r="529">
      <c r="A529" s="113" t="inlineStr">
        <is>
          <t>HOLLOW-50x50x1</t>
        </is>
      </c>
      <c r="B529" s="117" t="inlineStr">
        <is>
          <t>Black hollow section 50 x 50 mm, wall 1 mm</t>
        </is>
      </c>
      <c r="C529" s="114">
        <f>G529/$C$393</f>
        <v/>
      </c>
      <c r="D529" s="113" t="inlineStr">
        <is>
          <t>IDR/m</t>
        </is>
      </c>
      <c r="E529" s="113" t="inlineStr">
        <is>
          <t>smsperkasa.com, price per 6 m bar</t>
        </is>
      </c>
      <c r="F529" s="130" t="n">
        <v>9.42</v>
      </c>
      <c r="G529" s="131" t="n">
        <v>132100</v>
      </c>
      <c r="H529" s="132">
        <f>G529/F529</f>
        <v/>
      </c>
    </row>
    <row r="530">
      <c r="A530" s="113" t="inlineStr">
        <is>
          <t>HOLLOW-50x50x1.2</t>
        </is>
      </c>
      <c r="B530" s="117" t="inlineStr">
        <is>
          <t>Black hollow section 50 x 50 mm, wall 1.2 mm</t>
        </is>
      </c>
      <c r="C530" s="114">
        <f>G530/$C$393</f>
        <v/>
      </c>
      <c r="D530" s="113" t="inlineStr">
        <is>
          <t>IDR/m</t>
        </is>
      </c>
      <c r="E530" s="113" t="inlineStr">
        <is>
          <t>smsperkasa.com, price per 6 m bar</t>
        </is>
      </c>
      <c r="F530" s="130" t="n">
        <v>11.3</v>
      </c>
      <c r="G530" s="131" t="n">
        <v>155500</v>
      </c>
      <c r="H530" s="132">
        <f>G530/F530</f>
        <v/>
      </c>
    </row>
    <row r="531">
      <c r="A531" s="113" t="inlineStr">
        <is>
          <t>HOLLOW-50x50x1.8</t>
        </is>
      </c>
      <c r="B531" s="117" t="inlineStr">
        <is>
          <t>Black hollow section 50 x 50 mm, wall 1.8 mm</t>
        </is>
      </c>
      <c r="C531" s="114">
        <f>G531/$C$393</f>
        <v/>
      </c>
      <c r="D531" s="113" t="inlineStr">
        <is>
          <t>IDR/m</t>
        </is>
      </c>
      <c r="E531" s="113" t="inlineStr">
        <is>
          <t>smsperkasa.com, price per 6 m bar</t>
        </is>
      </c>
      <c r="F531" s="130" t="n">
        <v>16.96</v>
      </c>
      <c r="G531" s="131" t="n">
        <v>214200</v>
      </c>
      <c r="H531" s="132">
        <f>G531/F531</f>
        <v/>
      </c>
    </row>
    <row r="532">
      <c r="A532" s="113" t="inlineStr">
        <is>
          <t>HOLLOW-50x50x2</t>
        </is>
      </c>
      <c r="B532" s="117" t="inlineStr">
        <is>
          <t>Black hollow section 50 x 50 mm, wall 2 mm</t>
        </is>
      </c>
      <c r="C532" s="114">
        <f>G532/$C$393</f>
        <v/>
      </c>
      <c r="D532" s="113" t="inlineStr">
        <is>
          <t>IDR/m</t>
        </is>
      </c>
      <c r="E532" s="113" t="inlineStr">
        <is>
          <t>smsperkasa.com, price per 6 m bar</t>
        </is>
      </c>
      <c r="F532" s="130" t="n">
        <v>18.84</v>
      </c>
      <c r="G532" s="131" t="n">
        <v>239700</v>
      </c>
      <c r="H532" s="132">
        <f>G532/F532</f>
        <v/>
      </c>
    </row>
    <row r="533">
      <c r="A533" s="113" t="inlineStr">
        <is>
          <t>HOLLOW-50x50x2.3</t>
        </is>
      </c>
      <c r="B533" s="117" t="inlineStr">
        <is>
          <t>Black hollow section 50 x 50 mm, wall 2.3 mm</t>
        </is>
      </c>
      <c r="C533" s="114">
        <f>G533/$C$393</f>
        <v/>
      </c>
      <c r="D533" s="113" t="inlineStr">
        <is>
          <t>IDR/m</t>
        </is>
      </c>
      <c r="E533" s="113" t="inlineStr">
        <is>
          <t>smsperkasa.com, price per 6 m bar</t>
        </is>
      </c>
      <c r="F533" s="130" t="n">
        <v>21.67</v>
      </c>
      <c r="G533" s="131" t="n">
        <v>278600</v>
      </c>
      <c r="H533" s="132">
        <f>G533/F533</f>
        <v/>
      </c>
    </row>
    <row r="534">
      <c r="A534" s="113" t="inlineStr">
        <is>
          <t>HOLLOW-50x50x2.5</t>
        </is>
      </c>
      <c r="B534" s="117" t="inlineStr">
        <is>
          <t>Black hollow section 50 x 50 mm, wall 2.5 mm</t>
        </is>
      </c>
      <c r="C534" s="114">
        <f>G534/$C$393</f>
        <v/>
      </c>
      <c r="D534" s="113" t="inlineStr">
        <is>
          <t>IDR/m</t>
        </is>
      </c>
      <c r="E534" s="113" t="inlineStr">
        <is>
          <t>smsperkasa.com, price per 6 m bar</t>
        </is>
      </c>
      <c r="F534" s="130" t="n">
        <v>23.55</v>
      </c>
      <c r="G534" s="131" t="n">
        <v>304300</v>
      </c>
      <c r="H534" s="132">
        <f>G534/F534</f>
        <v/>
      </c>
    </row>
    <row r="535">
      <c r="A535" s="113" t="inlineStr">
        <is>
          <t>HOLLOW-50x50x2.8</t>
        </is>
      </c>
      <c r="B535" s="117" t="inlineStr">
        <is>
          <t>Black hollow section 50 x 50 mm, wall 2.8 mm</t>
        </is>
      </c>
      <c r="C535" s="114">
        <f>G535/$C$393</f>
        <v/>
      </c>
      <c r="D535" s="113" t="inlineStr">
        <is>
          <t>IDR/m</t>
        </is>
      </c>
      <c r="E535" s="113" t="inlineStr">
        <is>
          <t>smsperkasa.com, price per 6 m bar</t>
        </is>
      </c>
      <c r="F535" s="130" t="n">
        <v>26.38</v>
      </c>
      <c r="G535" s="131" t="n">
        <v>336800</v>
      </c>
      <c r="H535" s="132">
        <f>G535/F535</f>
        <v/>
      </c>
    </row>
    <row r="536">
      <c r="A536" s="113" t="inlineStr">
        <is>
          <t>HOLLOW-50x50x3</t>
        </is>
      </c>
      <c r="B536" s="117" t="inlineStr">
        <is>
          <t>Black hollow section 50 x 50 mm, wall 3 mm</t>
        </is>
      </c>
      <c r="C536" s="114">
        <f>G536/$C$393</f>
        <v/>
      </c>
      <c r="D536" s="113" t="inlineStr">
        <is>
          <t>IDR/m</t>
        </is>
      </c>
      <c r="E536" s="113" t="inlineStr">
        <is>
          <t>smsperkasa.com, price per 6 m bar</t>
        </is>
      </c>
      <c r="F536" s="130" t="n">
        <v>28.26</v>
      </c>
      <c r="G536" s="131" t="n">
        <v>367600</v>
      </c>
      <c r="H536" s="132">
        <f>G536/F536</f>
        <v/>
      </c>
    </row>
    <row r="537">
      <c r="A537" s="113" t="inlineStr">
        <is>
          <t>HOLLOW-50x50x3.2</t>
        </is>
      </c>
      <c r="B537" s="117" t="inlineStr">
        <is>
          <t>Black hollow section 50 x 50 mm, wall 3.2 mm</t>
        </is>
      </c>
      <c r="C537" s="114">
        <f>G537/$C$393</f>
        <v/>
      </c>
      <c r="D537" s="113" t="inlineStr">
        <is>
          <t>IDR/m</t>
        </is>
      </c>
      <c r="E537" s="113" t="inlineStr">
        <is>
          <t>smsperkasa.com, price per 6 m bar</t>
        </is>
      </c>
      <c r="F537" s="130" t="n">
        <v>30.14</v>
      </c>
      <c r="G537" s="131" t="n">
        <v>387200</v>
      </c>
      <c r="H537" s="132">
        <f>G537/F537</f>
        <v/>
      </c>
    </row>
    <row r="538">
      <c r="A538" s="113" t="inlineStr">
        <is>
          <t>HOLLOW-50x50x3.5</t>
        </is>
      </c>
      <c r="B538" s="117" t="inlineStr">
        <is>
          <t>Black hollow section 50 x 50 mm, wall 3.5 mm</t>
        </is>
      </c>
      <c r="C538" s="114">
        <f>G538/$C$393</f>
        <v/>
      </c>
      <c r="D538" s="113" t="inlineStr">
        <is>
          <t>IDR/m</t>
        </is>
      </c>
      <c r="E538" s="113" t="inlineStr">
        <is>
          <t>smsperkasa.com, price per 6 m bar</t>
        </is>
      </c>
      <c r="F538" s="130" t="n">
        <v>32.97</v>
      </c>
      <c r="G538" s="131" t="n">
        <v>672857</v>
      </c>
      <c r="H538" s="132">
        <f>G538/F538</f>
        <v/>
      </c>
    </row>
    <row r="539">
      <c r="A539" s="113" t="inlineStr">
        <is>
          <t>HOLLOW-50x50x3.8</t>
        </is>
      </c>
      <c r="B539" s="117" t="inlineStr">
        <is>
          <t>Black hollow section 50 x 50 mm, wall 3.8 mm</t>
        </is>
      </c>
      <c r="C539" s="114">
        <f>G539/$C$393</f>
        <v/>
      </c>
      <c r="D539" s="113" t="inlineStr">
        <is>
          <t>IDR/m</t>
        </is>
      </c>
      <c r="E539" s="113" t="inlineStr">
        <is>
          <t>smsperkasa.com, price per 6 m bar</t>
        </is>
      </c>
      <c r="F539" s="130" t="n">
        <v>35.8</v>
      </c>
      <c r="G539" s="131" t="n">
        <v>730700</v>
      </c>
      <c r="H539" s="132">
        <f>G539/F539</f>
        <v/>
      </c>
    </row>
    <row r="540">
      <c r="A540" s="113" t="inlineStr">
        <is>
          <t>HOLLOW-50x50x4</t>
        </is>
      </c>
      <c r="B540" s="117" t="inlineStr">
        <is>
          <t>Black hollow section 50 x 50 mm, wall 4 mm</t>
        </is>
      </c>
      <c r="C540" s="114">
        <f>G540/$C$393</f>
        <v/>
      </c>
      <c r="D540" s="113" t="inlineStr">
        <is>
          <t>IDR/m</t>
        </is>
      </c>
      <c r="E540" s="113" t="inlineStr">
        <is>
          <t>smsperkasa.com, price per 6 m bar</t>
        </is>
      </c>
      <c r="F540" s="130" t="n">
        <v>37.68</v>
      </c>
      <c r="G540" s="131" t="n">
        <v>769000</v>
      </c>
      <c r="H540" s="132">
        <f>G540/F540</f>
        <v/>
      </c>
    </row>
    <row r="541">
      <c r="A541" s="113" t="inlineStr">
        <is>
          <t>HOLLOW-50x50x4.5</t>
        </is>
      </c>
      <c r="B541" s="117" t="inlineStr">
        <is>
          <t>Black hollow section 50 x 50 mm, wall 4.5 mm</t>
        </is>
      </c>
      <c r="C541" s="114">
        <f>G541/$C$393</f>
        <v/>
      </c>
      <c r="D541" s="113" t="inlineStr">
        <is>
          <t>IDR/m</t>
        </is>
      </c>
      <c r="E541" s="113" t="inlineStr">
        <is>
          <t>smsperkasa.com, price per 6 m bar</t>
        </is>
      </c>
      <c r="F541" s="130" t="n">
        <v>42.39</v>
      </c>
      <c r="G541" s="131" t="n">
        <v>865200</v>
      </c>
      <c r="H541" s="132">
        <f>G541/F541</f>
        <v/>
      </c>
    </row>
    <row r="542">
      <c r="A542" s="113" t="inlineStr">
        <is>
          <t>HOLLOW-50x100x1</t>
        </is>
      </c>
      <c r="B542" s="117" t="inlineStr">
        <is>
          <t>Black hollow section 50 x 100 mm, wall 1 mm</t>
        </is>
      </c>
      <c r="C542" s="114">
        <f>G542/$C$393</f>
        <v/>
      </c>
      <c r="D542" s="113" t="inlineStr">
        <is>
          <t>IDR/m</t>
        </is>
      </c>
      <c r="E542" s="113" t="inlineStr">
        <is>
          <t>smsperkasa.com, price per 6 m bar</t>
        </is>
      </c>
      <c r="F542" s="130" t="n">
        <v>14.13</v>
      </c>
      <c r="G542" s="131" t="n">
        <v>199400</v>
      </c>
      <c r="H542" s="132">
        <f>G542/F542</f>
        <v/>
      </c>
    </row>
    <row r="543">
      <c r="A543" s="113" t="inlineStr">
        <is>
          <t>HOLLOW-50x100x1.2</t>
        </is>
      </c>
      <c r="B543" s="117" t="inlineStr">
        <is>
          <t>Black hollow section 50 x 100 mm, wall 1.2 mm</t>
        </is>
      </c>
      <c r="C543" s="114">
        <f>G543/$C$393</f>
        <v/>
      </c>
      <c r="D543" s="113" t="inlineStr">
        <is>
          <t>IDR/m</t>
        </is>
      </c>
      <c r="E543" s="113" t="inlineStr">
        <is>
          <t>smsperkasa.com, price per 6 m bar</t>
        </is>
      </c>
      <c r="F543" s="130" t="n">
        <v>16.96</v>
      </c>
      <c r="G543" s="131" t="n">
        <v>234800</v>
      </c>
      <c r="H543" s="132">
        <f>G543/F543</f>
        <v/>
      </c>
    </row>
    <row r="544">
      <c r="A544" s="113" t="inlineStr">
        <is>
          <t>HOLLOW-50x100x1.8</t>
        </is>
      </c>
      <c r="B544" s="117" t="inlineStr">
        <is>
          <t>Black hollow section 50 x 100 mm, wall 1.8 mm</t>
        </is>
      </c>
      <c r="C544" s="114">
        <f>G544/$C$393</f>
        <v/>
      </c>
      <c r="D544" s="113" t="inlineStr">
        <is>
          <t>IDR/m</t>
        </is>
      </c>
      <c r="E544" s="113" t="inlineStr">
        <is>
          <t>smsperkasa.com, price per 6 m bar</t>
        </is>
      </c>
      <c r="F544" s="130" t="n">
        <v>25.43</v>
      </c>
      <c r="G544" s="131" t="n">
        <v>323500</v>
      </c>
      <c r="H544" s="132">
        <f>G544/F544</f>
        <v/>
      </c>
    </row>
    <row r="545">
      <c r="A545" s="113" t="inlineStr">
        <is>
          <t>HOLLOW-50x100x2</t>
        </is>
      </c>
      <c r="B545" s="117" t="inlineStr">
        <is>
          <t>Black hollow section 50 x 100 mm, wall 2 mm</t>
        </is>
      </c>
      <c r="C545" s="114">
        <f>G545/$C$393</f>
        <v/>
      </c>
      <c r="D545" s="113" t="inlineStr">
        <is>
          <t>IDR/m</t>
        </is>
      </c>
      <c r="E545" s="113" t="inlineStr">
        <is>
          <t>smsperkasa.com, price per 6 m bar</t>
        </is>
      </c>
      <c r="F545" s="130" t="n">
        <v>28.26</v>
      </c>
      <c r="G545" s="131" t="n">
        <v>362000</v>
      </c>
      <c r="H545" s="132">
        <f>G545/F545</f>
        <v/>
      </c>
    </row>
    <row r="546">
      <c r="A546" s="113" t="inlineStr">
        <is>
          <t>HOLLOW-50x100x2.3</t>
        </is>
      </c>
      <c r="B546" s="117" t="inlineStr">
        <is>
          <t>Black hollow section 50 x 100 mm, wall 2.3 mm</t>
        </is>
      </c>
      <c r="C546" s="114">
        <f>G546/$C$393</f>
        <v/>
      </c>
      <c r="D546" s="113" t="inlineStr">
        <is>
          <t>IDR/m</t>
        </is>
      </c>
      <c r="E546" s="113" t="inlineStr">
        <is>
          <t>smsperkasa.com, price per 6 m bar</t>
        </is>
      </c>
      <c r="F546" s="130" t="n">
        <v>32.5</v>
      </c>
      <c r="G546" s="131" t="n">
        <v>420600</v>
      </c>
      <c r="H546" s="132">
        <f>G546/F546</f>
        <v/>
      </c>
    </row>
    <row r="547">
      <c r="A547" s="113" t="inlineStr">
        <is>
          <t>HOLLOW-50x100x2.5</t>
        </is>
      </c>
      <c r="B547" s="117" t="inlineStr">
        <is>
          <t>Black hollow section 50 x 100 mm, wall 2.5 mm</t>
        </is>
      </c>
      <c r="C547" s="114">
        <f>G547/$C$393</f>
        <v/>
      </c>
      <c r="D547" s="113" t="inlineStr">
        <is>
          <t>IDR/m</t>
        </is>
      </c>
      <c r="E547" s="113" t="inlineStr">
        <is>
          <t>smsperkasa.com, price per 6 m bar</t>
        </is>
      </c>
      <c r="F547" s="130" t="n">
        <v>35.33</v>
      </c>
      <c r="G547" s="131" t="n">
        <v>459700</v>
      </c>
      <c r="H547" s="132">
        <f>G547/F547</f>
        <v/>
      </c>
    </row>
    <row r="548">
      <c r="A548" s="113" t="inlineStr">
        <is>
          <t>HOLLOW-50x100x2.8</t>
        </is>
      </c>
      <c r="B548" s="117" t="inlineStr">
        <is>
          <t>Black hollow section 50 x 100 mm, wall 2.8 mm</t>
        </is>
      </c>
      <c r="C548" s="114">
        <f>G548/$C$393</f>
        <v/>
      </c>
      <c r="D548" s="113" t="inlineStr">
        <is>
          <t>IDR/m</t>
        </is>
      </c>
      <c r="E548" s="113" t="inlineStr">
        <is>
          <t>smsperkasa.com, price per 6 m bar</t>
        </is>
      </c>
      <c r="F548" s="130" t="n">
        <v>39.56</v>
      </c>
      <c r="G548" s="131" t="n">
        <v>508700</v>
      </c>
      <c r="H548" s="132">
        <f>G548/F548</f>
        <v/>
      </c>
    </row>
    <row r="549">
      <c r="A549" s="113" t="inlineStr">
        <is>
          <t>HOLLOW-50x100x3</t>
        </is>
      </c>
      <c r="B549" s="117" t="inlineStr">
        <is>
          <t>Black hollow section 50 x 100 mm, wall 3 mm</t>
        </is>
      </c>
      <c r="C549" s="114">
        <f>G549/$C$393</f>
        <v/>
      </c>
      <c r="D549" s="113" t="inlineStr">
        <is>
          <t>IDR/m</t>
        </is>
      </c>
      <c r="E549" s="113" t="inlineStr">
        <is>
          <t>smsperkasa.com, price per 6 m bar</t>
        </is>
      </c>
      <c r="F549" s="130" t="n">
        <v>42.39</v>
      </c>
      <c r="G549" s="131" t="n">
        <v>555200</v>
      </c>
      <c r="H549" s="132">
        <f>G549/F549</f>
        <v/>
      </c>
    </row>
    <row r="550">
      <c r="A550" s="113" t="inlineStr">
        <is>
          <t>HOLLOW-50x100x3.2</t>
        </is>
      </c>
      <c r="B550" s="117" t="inlineStr">
        <is>
          <t>Black hollow section 50 x 100 mm, wall 3.2 mm</t>
        </is>
      </c>
      <c r="C550" s="114">
        <f>G550/$C$393</f>
        <v/>
      </c>
      <c r="D550" s="113" t="inlineStr">
        <is>
          <t>IDR/m</t>
        </is>
      </c>
      <c r="E550" s="113" t="inlineStr">
        <is>
          <t>smsperkasa.com, price per 6 m bar</t>
        </is>
      </c>
      <c r="F550" s="130" t="n">
        <v>45.22</v>
      </c>
      <c r="G550" s="131" t="n">
        <v>584800</v>
      </c>
      <c r="H550" s="132">
        <f>G550/F550</f>
        <v/>
      </c>
    </row>
    <row r="551">
      <c r="A551" s="113" t="inlineStr">
        <is>
          <t>HOLLOW-50x100x3.5</t>
        </is>
      </c>
      <c r="B551" s="117" t="inlineStr">
        <is>
          <t>Black hollow section 50 x 100 mm, wall 3.5 mm</t>
        </is>
      </c>
      <c r="C551" s="114">
        <f>G551/$C$393</f>
        <v/>
      </c>
      <c r="D551" s="113" t="inlineStr">
        <is>
          <t>IDR/m</t>
        </is>
      </c>
      <c r="E551" s="113" t="inlineStr">
        <is>
          <t>smsperkasa.com, price per 6 m bar</t>
        </is>
      </c>
      <c r="F551" s="130" t="n">
        <v>49.46</v>
      </c>
      <c r="G551" s="131" t="n">
        <v>1009387</v>
      </c>
      <c r="H551" s="132">
        <f>G551/F551</f>
        <v/>
      </c>
    </row>
    <row r="552">
      <c r="A552" s="113" t="inlineStr">
        <is>
          <t>HOLLOW-50x100x3.8</t>
        </is>
      </c>
      <c r="B552" s="117" t="inlineStr">
        <is>
          <t>Black hollow section 50 x 100 mm, wall 3.8 mm</t>
        </is>
      </c>
      <c r="C552" s="114">
        <f>G552/$C$393</f>
        <v/>
      </c>
      <c r="D552" s="113" t="inlineStr">
        <is>
          <t>IDR/m</t>
        </is>
      </c>
      <c r="E552" s="113" t="inlineStr">
        <is>
          <t>smsperkasa.com, price per 6 m bar</t>
        </is>
      </c>
      <c r="F552" s="130" t="n">
        <v>53.69</v>
      </c>
      <c r="G552" s="131" t="n">
        <v>1095800</v>
      </c>
      <c r="H552" s="132">
        <f>G552/F552</f>
        <v/>
      </c>
    </row>
    <row r="553">
      <c r="A553" s="113" t="inlineStr">
        <is>
          <t>HOLLOW-50x100x4</t>
        </is>
      </c>
      <c r="B553" s="117" t="inlineStr">
        <is>
          <t>Black hollow section 50 x 100 mm, wall 4 mm</t>
        </is>
      </c>
      <c r="C553" s="114">
        <f>G553/$C$393</f>
        <v/>
      </c>
      <c r="D553" s="113" t="inlineStr">
        <is>
          <t>IDR/m</t>
        </is>
      </c>
      <c r="E553" s="113" t="inlineStr">
        <is>
          <t>smsperkasa.com, price per 6 m bar</t>
        </is>
      </c>
      <c r="F553" s="130" t="n">
        <v>56.52</v>
      </c>
      <c r="G553" s="131" t="n">
        <v>1153500</v>
      </c>
      <c r="H553" s="132">
        <f>G553/F553</f>
        <v/>
      </c>
    </row>
    <row r="554">
      <c r="A554" s="113" t="inlineStr">
        <is>
          <t>HOLLOW-50x100x4.5</t>
        </is>
      </c>
      <c r="B554" s="117" t="inlineStr">
        <is>
          <t>Black hollow section 50 x 100 mm, wall 4.5 mm</t>
        </is>
      </c>
      <c r="C554" s="114">
        <f>G554/$C$393</f>
        <v/>
      </c>
      <c r="D554" s="113" t="inlineStr">
        <is>
          <t>IDR/m</t>
        </is>
      </c>
      <c r="E554" s="113" t="inlineStr">
        <is>
          <t>smsperkasa.com, price per 6 m bar</t>
        </is>
      </c>
      <c r="F554" s="130" t="n">
        <v>63.59</v>
      </c>
      <c r="G554" s="131" t="n">
        <v>1297800</v>
      </c>
      <c r="H554" s="132">
        <f>G554/F554</f>
        <v/>
      </c>
    </row>
    <row r="555">
      <c r="A555" s="113" t="inlineStr">
        <is>
          <t>HOLLOW-50x100x5</t>
        </is>
      </c>
      <c r="B555" s="117" t="inlineStr">
        <is>
          <t>Black hollow section 50 x 100 mm, wall 5 mm</t>
        </is>
      </c>
      <c r="C555" s="114">
        <f>G555/$C$393</f>
        <v/>
      </c>
      <c r="D555" s="113" t="inlineStr">
        <is>
          <t>IDR/m</t>
        </is>
      </c>
      <c r="E555" s="113" t="inlineStr">
        <is>
          <t>smsperkasa.com, price per 6 m bar</t>
        </is>
      </c>
      <c r="F555" s="130" t="n">
        <v>70.65000000000001</v>
      </c>
      <c r="G555" s="131" t="n">
        <v>2402100</v>
      </c>
      <c r="H555" s="132">
        <f>G555/F555</f>
        <v/>
      </c>
    </row>
    <row r="556">
      <c r="A556" s="113" t="inlineStr">
        <is>
          <t>HOLLOW-50x100x6</t>
        </is>
      </c>
      <c r="B556" s="117" t="inlineStr">
        <is>
          <t>Black hollow section 50 x 100 mm, wall 6 mm</t>
        </is>
      </c>
      <c r="C556" s="114">
        <f>G556/$C$393</f>
        <v/>
      </c>
      <c r="D556" s="113" t="inlineStr">
        <is>
          <t>IDR/m</t>
        </is>
      </c>
      <c r="E556" s="113" t="inlineStr">
        <is>
          <t>smsperkasa.com, price per 6 m bar</t>
        </is>
      </c>
      <c r="F556" s="130" t="n">
        <v>84.78</v>
      </c>
      <c r="G556" s="131" t="n">
        <v>2882600</v>
      </c>
      <c r="H556" s="132">
        <f>G556/F556</f>
        <v/>
      </c>
    </row>
    <row r="557">
      <c r="A557" s="113" t="inlineStr">
        <is>
          <t>HOLLOW-60x60x1</t>
        </is>
      </c>
      <c r="B557" s="117" t="inlineStr">
        <is>
          <t>Black hollow section 60 x 60 mm, wall 1 mm</t>
        </is>
      </c>
      <c r="C557" s="114">
        <f>G557/$C$393</f>
        <v/>
      </c>
      <c r="D557" s="113" t="inlineStr">
        <is>
          <t>IDR/m</t>
        </is>
      </c>
      <c r="E557" s="113" t="inlineStr">
        <is>
          <t>smsperkasa.com, price per 6 m bar</t>
        </is>
      </c>
      <c r="F557" s="130" t="n">
        <v>11.3</v>
      </c>
      <c r="G557" s="131" t="n">
        <v>158900</v>
      </c>
      <c r="H557" s="132">
        <f>G557/F557</f>
        <v/>
      </c>
    </row>
    <row r="558">
      <c r="A558" s="113" t="inlineStr">
        <is>
          <t>HOLLOW-60x60x1.2</t>
        </is>
      </c>
      <c r="B558" s="117" t="inlineStr">
        <is>
          <t>Black hollow section 60 x 60 mm, wall 1.2 mm</t>
        </is>
      </c>
      <c r="C558" s="114">
        <f>G558/$C$393</f>
        <v/>
      </c>
      <c r="D558" s="113" t="inlineStr">
        <is>
          <t>IDR/m</t>
        </is>
      </c>
      <c r="E558" s="113" t="inlineStr">
        <is>
          <t>smsperkasa.com, price per 6 m bar</t>
        </is>
      </c>
      <c r="F558" s="130" t="n">
        <v>13.56</v>
      </c>
      <c r="G558" s="131" t="n">
        <v>187300</v>
      </c>
      <c r="H558" s="132">
        <f>G558/F558</f>
        <v/>
      </c>
    </row>
    <row r="559">
      <c r="A559" s="113" t="inlineStr">
        <is>
          <t>HOLLOW-60x60x1.8</t>
        </is>
      </c>
      <c r="B559" s="117" t="inlineStr">
        <is>
          <t>Black hollow section 60 x 60 mm, wall 1.8 mm</t>
        </is>
      </c>
      <c r="C559" s="114">
        <f>G559/$C$393</f>
        <v/>
      </c>
      <c r="D559" s="113" t="inlineStr">
        <is>
          <t>IDR/m</t>
        </is>
      </c>
      <c r="E559" s="113" t="inlineStr">
        <is>
          <t>smsperkasa.com, price per 6 m bar</t>
        </is>
      </c>
      <c r="F559" s="130" t="n">
        <v>20.35</v>
      </c>
      <c r="G559" s="131" t="n">
        <v>257800</v>
      </c>
      <c r="H559" s="132">
        <f>G559/F559</f>
        <v/>
      </c>
    </row>
    <row r="560">
      <c r="A560" s="113" t="inlineStr">
        <is>
          <t>HOLLOW-60x60x2</t>
        </is>
      </c>
      <c r="B560" s="117" t="inlineStr">
        <is>
          <t>Black hollow section 60 x 60 mm, wall 2 mm</t>
        </is>
      </c>
      <c r="C560" s="114">
        <f>G560/$C$393</f>
        <v/>
      </c>
      <c r="D560" s="113" t="inlineStr">
        <is>
          <t>IDR/m</t>
        </is>
      </c>
      <c r="E560" s="113" t="inlineStr">
        <is>
          <t>smsperkasa.com, price per 6 m bar</t>
        </is>
      </c>
      <c r="F560" s="130" t="n">
        <v>22.61</v>
      </c>
      <c r="G560" s="131" t="n">
        <v>288500</v>
      </c>
      <c r="H560" s="132">
        <f>G560/F560</f>
        <v/>
      </c>
    </row>
    <row r="561">
      <c r="A561" s="113" t="inlineStr">
        <is>
          <t>HOLLOW-60x60x2.3</t>
        </is>
      </c>
      <c r="B561" s="117" t="inlineStr">
        <is>
          <t>Black hollow section 60 x 60 mm, wall 2.3 mm</t>
        </is>
      </c>
      <c r="C561" s="114">
        <f>G561/$C$393</f>
        <v/>
      </c>
      <c r="D561" s="113" t="inlineStr">
        <is>
          <t>IDR/m</t>
        </is>
      </c>
      <c r="E561" s="113" t="inlineStr">
        <is>
          <t>smsperkasa.com, price per 6 m bar</t>
        </is>
      </c>
      <c r="F561" s="130" t="n">
        <v>26</v>
      </c>
      <c r="G561" s="131" t="n">
        <v>335500</v>
      </c>
      <c r="H561" s="132">
        <f>G561/F561</f>
        <v/>
      </c>
    </row>
    <row r="562">
      <c r="A562" s="113" t="inlineStr">
        <is>
          <t>HOLLOW-60x60x2.5</t>
        </is>
      </c>
      <c r="B562" s="117" t="inlineStr">
        <is>
          <t>Black hollow section 60 x 60 mm, wall 2.5 mm</t>
        </is>
      </c>
      <c r="C562" s="114">
        <f>G562/$C$393</f>
        <v/>
      </c>
      <c r="D562" s="113" t="inlineStr">
        <is>
          <t>IDR/m</t>
        </is>
      </c>
      <c r="E562" s="113" t="inlineStr">
        <is>
          <t>smsperkasa.com, price per 6 m bar</t>
        </is>
      </c>
      <c r="F562" s="130" t="n">
        <v>28.26</v>
      </c>
      <c r="G562" s="131" t="n">
        <v>366600</v>
      </c>
      <c r="H562" s="132">
        <f>G562/F562</f>
        <v/>
      </c>
    </row>
    <row r="563">
      <c r="A563" s="113" t="inlineStr">
        <is>
          <t>HOLLOW-60x60x2.8</t>
        </is>
      </c>
      <c r="B563" s="117" t="inlineStr">
        <is>
          <t>Black hollow section 60 x 60 mm, wall 2.8 mm</t>
        </is>
      </c>
      <c r="C563" s="114">
        <f>G563/$C$393</f>
        <v/>
      </c>
      <c r="D563" s="113" t="inlineStr">
        <is>
          <t>IDR/m</t>
        </is>
      </c>
      <c r="E563" s="113" t="inlineStr">
        <is>
          <t>smsperkasa.com, price per 6 m bar</t>
        </is>
      </c>
      <c r="F563" s="130" t="n">
        <v>31.65</v>
      </c>
      <c r="G563" s="131" t="n">
        <v>405600</v>
      </c>
      <c r="H563" s="132">
        <f>G563/F563</f>
        <v/>
      </c>
    </row>
    <row r="564">
      <c r="A564" s="113" t="inlineStr">
        <is>
          <t>HOLLOW-60x60x3</t>
        </is>
      </c>
      <c r="B564" s="117" t="inlineStr">
        <is>
          <t>Black hollow section 60 x 60 mm, wall 3 mm</t>
        </is>
      </c>
      <c r="C564" s="114">
        <f>G564/$C$393</f>
        <v/>
      </c>
      <c r="D564" s="113" t="inlineStr">
        <is>
          <t>IDR/m</t>
        </is>
      </c>
      <c r="E564" s="113" t="inlineStr">
        <is>
          <t>smsperkasa.com, price per 6 m bar</t>
        </is>
      </c>
      <c r="F564" s="130" t="n">
        <v>33.91</v>
      </c>
      <c r="G564" s="131" t="n">
        <v>442500</v>
      </c>
      <c r="H564" s="132">
        <f>G564/F564</f>
        <v/>
      </c>
    </row>
    <row r="565">
      <c r="A565" s="113" t="inlineStr">
        <is>
          <t>HOLLOW-60x60x3.2</t>
        </is>
      </c>
      <c r="B565" s="117" t="inlineStr">
        <is>
          <t>Black hollow section 60 x 60 mm, wall 3.2 mm</t>
        </is>
      </c>
      <c r="C565" s="114">
        <f>G565/$C$393</f>
        <v/>
      </c>
      <c r="D565" s="113" t="inlineStr">
        <is>
          <t>IDR/m</t>
        </is>
      </c>
      <c r="E565" s="113" t="inlineStr">
        <is>
          <t>smsperkasa.com, price per 6 m bar</t>
        </is>
      </c>
      <c r="F565" s="130" t="n">
        <v>36.17</v>
      </c>
      <c r="G565" s="131" t="n">
        <v>466300</v>
      </c>
      <c r="H565" s="132">
        <f>G565/F565</f>
        <v/>
      </c>
    </row>
    <row r="566">
      <c r="A566" s="113" t="inlineStr">
        <is>
          <t>HOLLOW-60x60x3.5</t>
        </is>
      </c>
      <c r="B566" s="117" t="inlineStr">
        <is>
          <t>Black hollow section 60 x 60 mm, wall 3.5 mm</t>
        </is>
      </c>
      <c r="C566" s="114">
        <f>G566/$C$393</f>
        <v/>
      </c>
      <c r="D566" s="113" t="inlineStr">
        <is>
          <t>IDR/m</t>
        </is>
      </c>
      <c r="E566" s="113" t="inlineStr">
        <is>
          <t>smsperkasa.com, price per 6 m bar</t>
        </is>
      </c>
      <c r="F566" s="130" t="n">
        <v>39.56</v>
      </c>
      <c r="G566" s="131" t="n">
        <v>807346</v>
      </c>
      <c r="H566" s="132">
        <f>G566/F566</f>
        <v/>
      </c>
    </row>
    <row r="567">
      <c r="A567" s="113" t="inlineStr">
        <is>
          <t>HOLLOW-60x60x3.8</t>
        </is>
      </c>
      <c r="B567" s="117" t="inlineStr">
        <is>
          <t>Black hollow section 60 x 60 mm, wall 3.8 mm</t>
        </is>
      </c>
      <c r="C567" s="114">
        <f>G567/$C$393</f>
        <v/>
      </c>
      <c r="D567" s="113" t="inlineStr">
        <is>
          <t>IDR/m</t>
        </is>
      </c>
      <c r="E567" s="113" t="inlineStr">
        <is>
          <t>smsperkasa.com, price per 6 m bar</t>
        </is>
      </c>
      <c r="F567" s="130" t="n">
        <v>42.96</v>
      </c>
      <c r="G567" s="131" t="n">
        <v>876800</v>
      </c>
      <c r="H567" s="132">
        <f>G567/F567</f>
        <v/>
      </c>
    </row>
    <row r="568">
      <c r="A568" s="113" t="inlineStr">
        <is>
          <t>HOLLOW-60x60x4</t>
        </is>
      </c>
      <c r="B568" s="117" t="inlineStr">
        <is>
          <t>Black hollow section 60 x 60 mm, wall 4 mm</t>
        </is>
      </c>
      <c r="C568" s="114">
        <f>G568/$C$393</f>
        <v/>
      </c>
      <c r="D568" s="113" t="inlineStr">
        <is>
          <t>IDR/m</t>
        </is>
      </c>
      <c r="E568" s="113" t="inlineStr">
        <is>
          <t>smsperkasa.com, price per 6 m bar</t>
        </is>
      </c>
      <c r="F568" s="130" t="n">
        <v>45.22</v>
      </c>
      <c r="G568" s="131" t="n">
        <v>922900</v>
      </c>
      <c r="H568" s="132">
        <f>G568/F568</f>
        <v/>
      </c>
    </row>
    <row r="569">
      <c r="A569" s="113" t="inlineStr">
        <is>
          <t>HOLLOW-60x60x4.5</t>
        </is>
      </c>
      <c r="B569" s="117" t="inlineStr">
        <is>
          <t>Black hollow section 60 x 60 mm, wall 4.5 mm</t>
        </is>
      </c>
      <c r="C569" s="114">
        <f>G569/$C$393</f>
        <v/>
      </c>
      <c r="D569" s="113" t="inlineStr">
        <is>
          <t>IDR/m</t>
        </is>
      </c>
      <c r="E569" s="113" t="inlineStr">
        <is>
          <t>smsperkasa.com, price per 6 m bar</t>
        </is>
      </c>
      <c r="F569" s="130" t="n">
        <v>50.87</v>
      </c>
      <c r="G569" s="131" t="n">
        <v>1038200</v>
      </c>
      <c r="H569" s="132">
        <f>G569/F569</f>
        <v/>
      </c>
    </row>
    <row r="570">
      <c r="A570" s="113" t="inlineStr">
        <is>
          <t>HOLLOW-75x75x1.2</t>
        </is>
      </c>
      <c r="B570" s="117" t="inlineStr">
        <is>
          <t>Black hollow section 75 x 75 mm, wall 1.2 mm</t>
        </is>
      </c>
      <c r="C570" s="114">
        <f>G570/$C$393</f>
        <v/>
      </c>
      <c r="D570" s="113" t="inlineStr">
        <is>
          <t>IDR/m</t>
        </is>
      </c>
      <c r="E570" s="113" t="inlineStr">
        <is>
          <t>smsperkasa.com, price per 6 m bar</t>
        </is>
      </c>
      <c r="F570" s="130" t="n">
        <v>16.96</v>
      </c>
      <c r="G570" s="131" t="n">
        <v>234800</v>
      </c>
      <c r="H570" s="132">
        <f>G570/F570</f>
        <v/>
      </c>
    </row>
    <row r="571">
      <c r="A571" s="113" t="inlineStr">
        <is>
          <t>HOLLOW-75x75x1.8</t>
        </is>
      </c>
      <c r="B571" s="117" t="inlineStr">
        <is>
          <t>Black hollow section 75 x 75 mm, wall 1.8 mm</t>
        </is>
      </c>
      <c r="C571" s="114">
        <f>G571/$C$393</f>
        <v/>
      </c>
      <c r="D571" s="113" t="inlineStr">
        <is>
          <t>IDR/m</t>
        </is>
      </c>
      <c r="E571" s="113" t="inlineStr">
        <is>
          <t>smsperkasa.com, price per 6 m bar</t>
        </is>
      </c>
      <c r="F571" s="130" t="n">
        <v>25.43</v>
      </c>
      <c r="G571" s="131" t="n">
        <v>323500</v>
      </c>
      <c r="H571" s="132">
        <f>G571/F571</f>
        <v/>
      </c>
    </row>
    <row r="572">
      <c r="A572" s="113" t="inlineStr">
        <is>
          <t>HOLLOW-75x75x2</t>
        </is>
      </c>
      <c r="B572" s="117" t="inlineStr">
        <is>
          <t>Black hollow section 75 x 75 mm, wall 2 mm</t>
        </is>
      </c>
      <c r="C572" s="114">
        <f>G572/$C$393</f>
        <v/>
      </c>
      <c r="D572" s="113" t="inlineStr">
        <is>
          <t>IDR/m</t>
        </is>
      </c>
      <c r="E572" s="113" t="inlineStr">
        <is>
          <t>smsperkasa.com, price per 6 m bar</t>
        </is>
      </c>
      <c r="F572" s="130" t="n">
        <v>28.26</v>
      </c>
      <c r="G572" s="131" t="n">
        <v>362000</v>
      </c>
      <c r="H572" s="132">
        <f>G572/F572</f>
        <v/>
      </c>
    </row>
    <row r="573">
      <c r="A573" s="113" t="inlineStr">
        <is>
          <t>HOLLOW-75x75x2.3</t>
        </is>
      </c>
      <c r="B573" s="117" t="inlineStr">
        <is>
          <t>Black hollow section 75 x 75 mm, wall 2.3 mm</t>
        </is>
      </c>
      <c r="C573" s="114">
        <f>G573/$C$393</f>
        <v/>
      </c>
      <c r="D573" s="113" t="inlineStr">
        <is>
          <t>IDR/m</t>
        </is>
      </c>
      <c r="E573" s="113" t="inlineStr">
        <is>
          <t>smsperkasa.com, price per 6 m bar</t>
        </is>
      </c>
      <c r="F573" s="130" t="n">
        <v>32.5</v>
      </c>
      <c r="G573" s="131" t="n">
        <v>420600</v>
      </c>
      <c r="H573" s="132">
        <f>G573/F573</f>
        <v/>
      </c>
    </row>
    <row r="574">
      <c r="A574" s="113" t="inlineStr">
        <is>
          <t>HOLLOW-75x75x2.5</t>
        </is>
      </c>
      <c r="B574" s="117" t="inlineStr">
        <is>
          <t>Black hollow section 75 x 75 mm, wall 2.5 mm</t>
        </is>
      </c>
      <c r="C574" s="114">
        <f>G574/$C$393</f>
        <v/>
      </c>
      <c r="D574" s="113" t="inlineStr">
        <is>
          <t>IDR/m</t>
        </is>
      </c>
      <c r="E574" s="113" t="inlineStr">
        <is>
          <t>smsperkasa.com, price per 6 m bar</t>
        </is>
      </c>
      <c r="F574" s="130" t="n">
        <v>35.33</v>
      </c>
      <c r="G574" s="131" t="n">
        <v>459700</v>
      </c>
      <c r="H574" s="132">
        <f>G574/F574</f>
        <v/>
      </c>
    </row>
    <row r="575">
      <c r="A575" s="113" t="inlineStr">
        <is>
          <t>HOLLOW-75x75x2.8</t>
        </is>
      </c>
      <c r="B575" s="117" t="inlineStr">
        <is>
          <t>Black hollow section 75 x 75 mm, wall 2.8 mm</t>
        </is>
      </c>
      <c r="C575" s="114">
        <f>G575/$C$393</f>
        <v/>
      </c>
      <c r="D575" s="113" t="inlineStr">
        <is>
          <t>IDR/m</t>
        </is>
      </c>
      <c r="E575" s="113" t="inlineStr">
        <is>
          <t>smsperkasa.com, price per 6 m bar</t>
        </is>
      </c>
      <c r="F575" s="130" t="n">
        <v>39.56</v>
      </c>
      <c r="G575" s="131" t="n">
        <v>508700</v>
      </c>
      <c r="H575" s="132">
        <f>G575/F575</f>
        <v/>
      </c>
    </row>
    <row r="576">
      <c r="A576" s="113" t="inlineStr">
        <is>
          <t>HOLLOW-75x75x3</t>
        </is>
      </c>
      <c r="B576" s="117" t="inlineStr">
        <is>
          <t>Black hollow section 75 x 75 mm, wall 3 mm</t>
        </is>
      </c>
      <c r="C576" s="114">
        <f>G576/$C$393</f>
        <v/>
      </c>
      <c r="D576" s="113" t="inlineStr">
        <is>
          <t>IDR/m</t>
        </is>
      </c>
      <c r="E576" s="113" t="inlineStr">
        <is>
          <t>smsperkasa.com, price per 6 m bar</t>
        </is>
      </c>
      <c r="F576" s="130" t="n">
        <v>42.39</v>
      </c>
      <c r="G576" s="131" t="n">
        <v>555200</v>
      </c>
      <c r="H576" s="132">
        <f>G576/F576</f>
        <v/>
      </c>
    </row>
    <row r="577">
      <c r="A577" s="113" t="inlineStr">
        <is>
          <t>HOLLOW-75x75x3.2</t>
        </is>
      </c>
      <c r="B577" s="117" t="inlineStr">
        <is>
          <t>Black hollow section 75 x 75 mm, wall 3.2 mm</t>
        </is>
      </c>
      <c r="C577" s="114">
        <f>G577/$C$393</f>
        <v/>
      </c>
      <c r="D577" s="113" t="inlineStr">
        <is>
          <t>IDR/m</t>
        </is>
      </c>
      <c r="E577" s="113" t="inlineStr">
        <is>
          <t>smsperkasa.com, price per 6 m bar</t>
        </is>
      </c>
      <c r="F577" s="130" t="n">
        <v>45.22</v>
      </c>
      <c r="G577" s="131" t="n">
        <v>584800</v>
      </c>
      <c r="H577" s="132">
        <f>G577/F577</f>
        <v/>
      </c>
    </row>
    <row r="578">
      <c r="A578" s="113" t="inlineStr">
        <is>
          <t>HOLLOW-75x75x3.5</t>
        </is>
      </c>
      <c r="B578" s="117" t="inlineStr">
        <is>
          <t>Black hollow section 75 x 75 mm, wall 3.5 mm</t>
        </is>
      </c>
      <c r="C578" s="114">
        <f>G578/$C$393</f>
        <v/>
      </c>
      <c r="D578" s="113" t="inlineStr">
        <is>
          <t>IDR/m</t>
        </is>
      </c>
      <c r="E578" s="113" t="inlineStr">
        <is>
          <t>smsperkasa.com, price per 6 m bar</t>
        </is>
      </c>
      <c r="F578" s="130" t="n">
        <v>49.46</v>
      </c>
      <c r="G578" s="131" t="n">
        <v>1009400</v>
      </c>
      <c r="H578" s="132">
        <f>G578/F578</f>
        <v/>
      </c>
    </row>
    <row r="579">
      <c r="A579" s="113" t="inlineStr">
        <is>
          <t>HOLLOW-75x75x3.8</t>
        </is>
      </c>
      <c r="B579" s="117" t="inlineStr">
        <is>
          <t>Black hollow section 75 x 75 mm, wall 3.8 mm</t>
        </is>
      </c>
      <c r="C579" s="114">
        <f>G579/$C$393</f>
        <v/>
      </c>
      <c r="D579" s="113" t="inlineStr">
        <is>
          <t>IDR/m</t>
        </is>
      </c>
      <c r="E579" s="113" t="inlineStr">
        <is>
          <t>smsperkasa.com, price per 6 m bar</t>
        </is>
      </c>
      <c r="F579" s="130" t="n">
        <v>53.69</v>
      </c>
      <c r="G579" s="131" t="n">
        <v>986200</v>
      </c>
      <c r="H579" s="132">
        <f>G579/F579</f>
        <v/>
      </c>
      <c r="I579" t="inlineStr">
        <is>
          <t>price not higher than 3.5 mm wall (Rp 1,009,400): confirm with supplier</t>
        </is>
      </c>
    </row>
    <row r="580">
      <c r="A580" s="113" t="inlineStr">
        <is>
          <t>HOLLOW-75x75x4</t>
        </is>
      </c>
      <c r="B580" s="117" t="inlineStr">
        <is>
          <t>Black hollow section 75 x 75 mm, wall 4 mm</t>
        </is>
      </c>
      <c r="C580" s="114">
        <f>G580/$C$393</f>
        <v/>
      </c>
      <c r="D580" s="113" t="inlineStr">
        <is>
          <t>IDR/m</t>
        </is>
      </c>
      <c r="E580" s="113" t="inlineStr">
        <is>
          <t>smsperkasa.com, price per 6 m bar</t>
        </is>
      </c>
      <c r="F580" s="130" t="n">
        <v>56.52</v>
      </c>
      <c r="G580" s="131" t="n">
        <v>1038200</v>
      </c>
      <c r="H580" s="132">
        <f>G580/F580</f>
        <v/>
      </c>
    </row>
    <row r="581">
      <c r="A581" s="113" t="inlineStr">
        <is>
          <t>HOLLOW-75x75x4.5</t>
        </is>
      </c>
      <c r="B581" s="117" t="inlineStr">
        <is>
          <t>Black hollow section 75 x 75 mm, wall 4.5 mm</t>
        </is>
      </c>
      <c r="C581" s="114">
        <f>G581/$C$393</f>
        <v/>
      </c>
      <c r="D581" s="113" t="inlineStr">
        <is>
          <t>IDR/m</t>
        </is>
      </c>
      <c r="E581" s="113" t="inlineStr">
        <is>
          <t>smsperkasa.com, price per 6 m bar</t>
        </is>
      </c>
      <c r="F581" s="130" t="n">
        <v>63.59</v>
      </c>
      <c r="G581" s="131" t="n">
        <v>1297800</v>
      </c>
      <c r="H581" s="132">
        <f>G581/F581</f>
        <v/>
      </c>
    </row>
    <row r="582">
      <c r="A582" s="113" t="inlineStr">
        <is>
          <t>HOLLOW-75x75x5</t>
        </is>
      </c>
      <c r="B582" s="117" t="inlineStr">
        <is>
          <t>Black hollow section 75 x 75 mm, wall 5 mm</t>
        </is>
      </c>
      <c r="C582" s="114">
        <f>G582/$C$393</f>
        <v/>
      </c>
      <c r="D582" s="113" t="inlineStr">
        <is>
          <t>IDR/m</t>
        </is>
      </c>
      <c r="E582" s="113" t="inlineStr">
        <is>
          <t>smsperkasa.com, price per 6 m bar</t>
        </is>
      </c>
      <c r="F582" s="130" t="n">
        <v>70.65000000000001</v>
      </c>
      <c r="G582" s="131" t="n">
        <v>2402100</v>
      </c>
      <c r="H582" s="132">
        <f>G582/F582</f>
        <v/>
      </c>
    </row>
    <row r="583">
      <c r="A583" s="113" t="inlineStr">
        <is>
          <t>HOLLOW-75x75x6</t>
        </is>
      </c>
      <c r="B583" s="117" t="inlineStr">
        <is>
          <t>Black hollow section 75 x 75 mm, wall 6 mm</t>
        </is>
      </c>
      <c r="C583" s="114">
        <f>G583/$C$393</f>
        <v/>
      </c>
      <c r="D583" s="113" t="inlineStr">
        <is>
          <t>IDR/m</t>
        </is>
      </c>
      <c r="E583" s="113" t="inlineStr">
        <is>
          <t>smsperkasa.com, price per 6 m bar</t>
        </is>
      </c>
      <c r="F583" s="130" t="n">
        <v>84.78</v>
      </c>
      <c r="G583" s="131" t="n">
        <v>2882600</v>
      </c>
      <c r="H583" s="132">
        <f>G583/F583</f>
        <v/>
      </c>
    </row>
    <row r="584">
      <c r="A584" s="113" t="inlineStr">
        <is>
          <t>HOLLOW-75x125x2</t>
        </is>
      </c>
      <c r="B584" s="117" t="inlineStr">
        <is>
          <t>Black hollow section 75 x 125 mm, wall 2 mm</t>
        </is>
      </c>
      <c r="C584" s="114">
        <f>G584/$C$393</f>
        <v/>
      </c>
      <c r="D584" s="113" t="inlineStr">
        <is>
          <t>IDR/m</t>
        </is>
      </c>
      <c r="E584" s="113" t="inlineStr">
        <is>
          <t>smsperkasa.com, price per 6 m bar</t>
        </is>
      </c>
      <c r="F584" s="130" t="n">
        <v>37.68</v>
      </c>
      <c r="G584" s="131" t="n">
        <v>1281200</v>
      </c>
      <c r="H584" s="132">
        <f>G584/F584</f>
        <v/>
      </c>
    </row>
    <row r="585">
      <c r="A585" s="113" t="inlineStr">
        <is>
          <t>HOLLOW-75x125x2.3</t>
        </is>
      </c>
      <c r="B585" s="117" t="inlineStr">
        <is>
          <t>Black hollow section 75 x 125 mm, wall 2.3 mm</t>
        </is>
      </c>
      <c r="C585" s="114">
        <f>G585/$C$393</f>
        <v/>
      </c>
      <c r="D585" s="113" t="inlineStr">
        <is>
          <t>IDR/m</t>
        </is>
      </c>
      <c r="E585" s="113" t="inlineStr">
        <is>
          <t>smsperkasa.com, price per 6 m bar</t>
        </is>
      </c>
      <c r="F585" s="130" t="n">
        <v>43.33</v>
      </c>
      <c r="G585" s="131" t="n">
        <v>1473300</v>
      </c>
      <c r="H585" s="132">
        <f>G585/F585</f>
        <v/>
      </c>
    </row>
    <row r="586">
      <c r="A586" s="113" t="inlineStr">
        <is>
          <t>HOLLOW-75x125x2.5</t>
        </is>
      </c>
      <c r="B586" s="117" t="inlineStr">
        <is>
          <t>Black hollow section 75 x 125 mm, wall 2.5 mm</t>
        </is>
      </c>
      <c r="C586" s="114">
        <f>G586/$C$393</f>
        <v/>
      </c>
      <c r="D586" s="113" t="inlineStr">
        <is>
          <t>IDR/m</t>
        </is>
      </c>
      <c r="E586" s="113" t="inlineStr">
        <is>
          <t>smsperkasa.com, price per 6 m bar</t>
        </is>
      </c>
      <c r="F586" s="130" t="n">
        <v>47.1</v>
      </c>
      <c r="G586" s="131" t="n">
        <v>1601400</v>
      </c>
      <c r="H586" s="132">
        <f>G586/F586</f>
        <v/>
      </c>
    </row>
    <row r="587">
      <c r="A587" s="113" t="inlineStr">
        <is>
          <t>HOLLOW-75x125x2.8</t>
        </is>
      </c>
      <c r="B587" s="117" t="inlineStr">
        <is>
          <t>Black hollow section 75 x 125 mm, wall 2.8 mm</t>
        </is>
      </c>
      <c r="C587" s="114">
        <f>G587/$C$393</f>
        <v/>
      </c>
      <c r="D587" s="113" t="inlineStr">
        <is>
          <t>IDR/m</t>
        </is>
      </c>
      <c r="E587" s="113" t="inlineStr">
        <is>
          <t>smsperkasa.com, price per 6 m bar</t>
        </is>
      </c>
      <c r="F587" s="130" t="n">
        <v>52.75</v>
      </c>
      <c r="G587" s="131" t="n">
        <v>1793500</v>
      </c>
      <c r="H587" s="132">
        <f>G587/F587</f>
        <v/>
      </c>
    </row>
    <row r="588">
      <c r="A588" s="113" t="inlineStr">
        <is>
          <t>HOLLOW-75x125x3</t>
        </is>
      </c>
      <c r="B588" s="117" t="inlineStr">
        <is>
          <t>Black hollow section 75 x 125 mm, wall 3 mm</t>
        </is>
      </c>
      <c r="C588" s="114">
        <f>G588/$C$393</f>
        <v/>
      </c>
      <c r="D588" s="113" t="inlineStr">
        <is>
          <t>IDR/m</t>
        </is>
      </c>
      <c r="E588" s="113" t="inlineStr">
        <is>
          <t>smsperkasa.com, price per 6 m bar</t>
        </is>
      </c>
      <c r="F588" s="130" t="n">
        <v>56.52</v>
      </c>
      <c r="G588" s="131" t="n">
        <v>1921700</v>
      </c>
      <c r="H588" s="132">
        <f>G588/F588</f>
        <v/>
      </c>
    </row>
    <row r="589">
      <c r="A589" s="113" t="inlineStr">
        <is>
          <t>HOLLOW-75x125x3.2</t>
        </is>
      </c>
      <c r="B589" s="117" t="inlineStr">
        <is>
          <t>Black hollow section 75 x 125 mm, wall 3.2 mm</t>
        </is>
      </c>
      <c r="C589" s="114">
        <f>G589/$C$393</f>
        <v/>
      </c>
      <c r="D589" s="113" t="inlineStr">
        <is>
          <t>IDR/m</t>
        </is>
      </c>
      <c r="E589" s="113" t="inlineStr">
        <is>
          <t>smsperkasa.com, price per 6 m bar</t>
        </is>
      </c>
      <c r="F589" s="130" t="n">
        <v>60.29</v>
      </c>
      <c r="G589" s="131" t="n">
        <v>2049900</v>
      </c>
      <c r="H589" s="132">
        <f>G589/F589</f>
        <v/>
      </c>
    </row>
    <row r="590">
      <c r="A590" s="113" t="inlineStr">
        <is>
          <t>HOLLOW-75x125x3.5</t>
        </is>
      </c>
      <c r="B590" s="117" t="inlineStr">
        <is>
          <t>Black hollow section 75 x 125 mm, wall 3.5 mm</t>
        </is>
      </c>
      <c r="C590" s="114">
        <f>G590/$C$393</f>
        <v/>
      </c>
      <c r="D590" s="113" t="inlineStr">
        <is>
          <t>IDR/m</t>
        </is>
      </c>
      <c r="E590" s="113" t="inlineStr">
        <is>
          <t>smsperkasa.com, price per 6 m bar</t>
        </is>
      </c>
      <c r="F590" s="130" t="n">
        <v>65.94</v>
      </c>
      <c r="G590" s="131" t="n">
        <v>2242000</v>
      </c>
      <c r="H590" s="132">
        <f>G590/F590</f>
        <v/>
      </c>
    </row>
    <row r="591">
      <c r="A591" s="113" t="inlineStr">
        <is>
          <t>HOLLOW-75x125x3.8</t>
        </is>
      </c>
      <c r="B591" s="117" t="inlineStr">
        <is>
          <t>Black hollow section 75 x 125 mm, wall 3.8 mm</t>
        </is>
      </c>
      <c r="C591" s="114">
        <f>G591/$C$393</f>
        <v/>
      </c>
      <c r="D591" s="113" t="inlineStr">
        <is>
          <t>IDR/m</t>
        </is>
      </c>
      <c r="E591" s="113" t="inlineStr">
        <is>
          <t>smsperkasa.com, price per 6 m bar</t>
        </is>
      </c>
      <c r="F591" s="130" t="n">
        <v>71.59</v>
      </c>
      <c r="G591" s="131" t="n">
        <v>2434100</v>
      </c>
      <c r="H591" s="132">
        <f>G591/F591</f>
        <v/>
      </c>
    </row>
    <row r="592">
      <c r="A592" s="113" t="inlineStr">
        <is>
          <t>HOLLOW-75x125x4</t>
        </is>
      </c>
      <c r="B592" s="117" t="inlineStr">
        <is>
          <t>Black hollow section 75 x 125 mm, wall 4 mm</t>
        </is>
      </c>
      <c r="C592" s="114">
        <f>G592/$C$393</f>
        <v/>
      </c>
      <c r="D592" s="113" t="inlineStr">
        <is>
          <t>IDR/m</t>
        </is>
      </c>
      <c r="E592" s="113" t="inlineStr">
        <is>
          <t>smsperkasa.com, price per 6 m bar</t>
        </is>
      </c>
      <c r="F592" s="130" t="n">
        <v>75.36</v>
      </c>
      <c r="G592" s="131" t="n">
        <v>2562300</v>
      </c>
      <c r="H592" s="132">
        <f>G592/F592</f>
        <v/>
      </c>
    </row>
    <row r="593">
      <c r="A593" s="113" t="inlineStr">
        <is>
          <t>HOLLOW-75x125x4.5</t>
        </is>
      </c>
      <c r="B593" s="117" t="inlineStr">
        <is>
          <t>Black hollow section 75 x 125 mm, wall 4.5 mm</t>
        </is>
      </c>
      <c r="C593" s="114">
        <f>G593/$C$393</f>
        <v/>
      </c>
      <c r="D593" s="113" t="inlineStr">
        <is>
          <t>IDR/m</t>
        </is>
      </c>
      <c r="E593" s="113" t="inlineStr">
        <is>
          <t>smsperkasa.com, price per 6 m bar</t>
        </is>
      </c>
      <c r="F593" s="130" t="n">
        <v>84.78</v>
      </c>
      <c r="G593" s="131" t="n">
        <v>2882600</v>
      </c>
      <c r="H593" s="132">
        <f>G593/F593</f>
        <v/>
      </c>
    </row>
    <row r="594">
      <c r="A594" s="113" t="inlineStr">
        <is>
          <t>HOLLOW-75x125x5</t>
        </is>
      </c>
      <c r="B594" s="117" t="inlineStr">
        <is>
          <t>Black hollow section 75 x 125 mm, wall 5 mm</t>
        </is>
      </c>
      <c r="C594" s="114">
        <f>G594/$C$393</f>
        <v/>
      </c>
      <c r="D594" s="113" t="inlineStr">
        <is>
          <t>IDR/m</t>
        </is>
      </c>
      <c r="E594" s="113" t="inlineStr">
        <is>
          <t>smsperkasa.com, price per 6 m bar</t>
        </is>
      </c>
      <c r="F594" s="130" t="n">
        <v>94.2</v>
      </c>
      <c r="G594" s="131" t="n">
        <v>3202800</v>
      </c>
      <c r="H594" s="132">
        <f>G594/F594</f>
        <v/>
      </c>
    </row>
    <row r="595">
      <c r="A595" s="113" t="inlineStr">
        <is>
          <t>HOLLOW-75x125x6</t>
        </is>
      </c>
      <c r="B595" s="117" t="inlineStr">
        <is>
          <t>Black hollow section 75 x 125 mm, wall 6 mm</t>
        </is>
      </c>
      <c r="C595" s="114">
        <f>G595/$C$393</f>
        <v/>
      </c>
      <c r="D595" s="113" t="inlineStr">
        <is>
          <t>IDR/m</t>
        </is>
      </c>
      <c r="E595" s="113" t="inlineStr">
        <is>
          <t>smsperkasa.com, price per 6 m bar</t>
        </is>
      </c>
      <c r="F595" s="130" t="n">
        <v>113.04</v>
      </c>
      <c r="G595" s="131" t="n">
        <v>3843400</v>
      </c>
      <c r="H595" s="132">
        <f>G595/F595</f>
        <v/>
      </c>
    </row>
    <row r="596">
      <c r="A596" s="113" t="inlineStr">
        <is>
          <t>HOLLOW-75x150x3</t>
        </is>
      </c>
      <c r="B596" s="117" t="inlineStr">
        <is>
          <t>Black hollow section 75 x 150 mm, wall 3 mm</t>
        </is>
      </c>
      <c r="C596" s="114">
        <f>G596/$C$393</f>
        <v/>
      </c>
      <c r="D596" s="113" t="inlineStr">
        <is>
          <t>IDR/m</t>
        </is>
      </c>
      <c r="E596" s="113" t="inlineStr">
        <is>
          <t>smsperkasa.com, price per 6 m bar</t>
        </is>
      </c>
      <c r="F596" s="130" t="n">
        <v>63.59</v>
      </c>
      <c r="G596" s="131" t="n">
        <v>2162100</v>
      </c>
      <c r="H596" s="132">
        <f>G596/F596</f>
        <v/>
      </c>
    </row>
    <row r="597">
      <c r="A597" s="113" t="inlineStr">
        <is>
          <t>HOLLOW-75x150x3.2</t>
        </is>
      </c>
      <c r="B597" s="117" t="inlineStr">
        <is>
          <t>Black hollow section 75 x 150 mm, wall 3.2 mm</t>
        </is>
      </c>
      <c r="C597" s="114">
        <f>G597/$C$393</f>
        <v/>
      </c>
      <c r="D597" s="113" t="inlineStr">
        <is>
          <t>IDR/m</t>
        </is>
      </c>
      <c r="E597" s="113" t="inlineStr">
        <is>
          <t>smsperkasa.com, price per 6 m bar</t>
        </is>
      </c>
      <c r="F597" s="130" t="n">
        <v>67.81999999999999</v>
      </c>
      <c r="G597" s="131" t="n">
        <v>2305900</v>
      </c>
      <c r="H597" s="132">
        <f>G597/F597</f>
        <v/>
      </c>
    </row>
    <row r="598">
      <c r="A598" s="113" t="inlineStr">
        <is>
          <t>HOLLOW-75x150x3.5</t>
        </is>
      </c>
      <c r="B598" s="117" t="inlineStr">
        <is>
          <t>Black hollow section 75 x 150 mm, wall 3.5 mm</t>
        </is>
      </c>
      <c r="C598" s="114">
        <f>G598/$C$393</f>
        <v/>
      </c>
      <c r="D598" s="113" t="inlineStr">
        <is>
          <t>IDR/m</t>
        </is>
      </c>
      <c r="E598" s="113" t="inlineStr">
        <is>
          <t>smsperkasa.com, price per 6 m bar</t>
        </is>
      </c>
      <c r="F598" s="130" t="n">
        <v>74.18000000000001</v>
      </c>
      <c r="G598" s="131" t="n">
        <v>2522200</v>
      </c>
      <c r="H598" s="132">
        <f>G598/F598</f>
        <v/>
      </c>
    </row>
    <row r="599">
      <c r="A599" s="113" t="inlineStr">
        <is>
          <t>HOLLOW-75x150x3.8</t>
        </is>
      </c>
      <c r="B599" s="117" t="inlineStr">
        <is>
          <t>Black hollow section 75 x 150 mm, wall 3.8 mm</t>
        </is>
      </c>
      <c r="C599" s="114">
        <f>G599/$C$393</f>
        <v/>
      </c>
      <c r="D599" s="113" t="inlineStr">
        <is>
          <t>IDR/m</t>
        </is>
      </c>
      <c r="E599" s="113" t="inlineStr">
        <is>
          <t>smsperkasa.com, price per 6 m bar</t>
        </is>
      </c>
      <c r="F599" s="130" t="n">
        <v>80.54000000000001</v>
      </c>
      <c r="G599" s="131" t="n">
        <v>2738400</v>
      </c>
      <c r="H599" s="132">
        <f>G599/F599</f>
        <v/>
      </c>
    </row>
    <row r="600">
      <c r="A600" s="113" t="inlineStr">
        <is>
          <t>HOLLOW-75x150x4</t>
        </is>
      </c>
      <c r="B600" s="117" t="inlineStr">
        <is>
          <t>Black hollow section 75 x 150 mm, wall 4 mm</t>
        </is>
      </c>
      <c r="C600" s="114">
        <f>G600/$C$393</f>
        <v/>
      </c>
      <c r="D600" s="113" t="inlineStr">
        <is>
          <t>IDR/m</t>
        </is>
      </c>
      <c r="E600" s="113" t="inlineStr">
        <is>
          <t>smsperkasa.com, price per 6 m bar</t>
        </is>
      </c>
      <c r="F600" s="130" t="n">
        <v>84.78</v>
      </c>
      <c r="G600" s="131" t="n">
        <v>2882600</v>
      </c>
      <c r="H600" s="132">
        <f>G600/F600</f>
        <v/>
      </c>
    </row>
    <row r="601">
      <c r="A601" s="113" t="inlineStr">
        <is>
          <t>HOLLOW-75x150x4.5</t>
        </is>
      </c>
      <c r="B601" s="117" t="inlineStr">
        <is>
          <t>Black hollow section 75 x 150 mm, wall 4.5 mm</t>
        </is>
      </c>
      <c r="C601" s="114">
        <f>G601/$C$393</f>
        <v/>
      </c>
      <c r="D601" s="113" t="inlineStr">
        <is>
          <t>IDR/m</t>
        </is>
      </c>
      <c r="E601" s="113" t="inlineStr">
        <is>
          <t>smsperkasa.com, price per 6 m bar</t>
        </is>
      </c>
      <c r="F601" s="130" t="n">
        <v>95.38</v>
      </c>
      <c r="G601" s="131" t="n">
        <v>3243000</v>
      </c>
      <c r="H601" s="132">
        <f>G601/F601</f>
        <v/>
      </c>
    </row>
    <row r="602">
      <c r="A602" s="113" t="inlineStr">
        <is>
          <t>HOLLOW-75x150x5</t>
        </is>
      </c>
      <c r="B602" s="117" t="inlineStr">
        <is>
          <t>Black hollow section 75 x 150 mm, wall 5 mm</t>
        </is>
      </c>
      <c r="C602" s="114">
        <f>G602/$C$393</f>
        <v/>
      </c>
      <c r="D602" s="113" t="inlineStr">
        <is>
          <t>IDR/m</t>
        </is>
      </c>
      <c r="E602" s="113" t="inlineStr">
        <is>
          <t>smsperkasa.com, price per 6 m bar</t>
        </is>
      </c>
      <c r="F602" s="130" t="n">
        <v>105.98</v>
      </c>
      <c r="G602" s="131" t="n">
        <v>3603400</v>
      </c>
      <c r="H602" s="132">
        <f>G602/F602</f>
        <v/>
      </c>
    </row>
    <row r="603">
      <c r="A603" s="113" t="inlineStr">
        <is>
          <t>HOLLOW-75x150x6</t>
        </is>
      </c>
      <c r="B603" s="117" t="inlineStr">
        <is>
          <t>Black hollow section 75 x 150 mm, wall 6 mm</t>
        </is>
      </c>
      <c r="C603" s="114">
        <f>G603/$C$393</f>
        <v/>
      </c>
      <c r="D603" s="113" t="inlineStr">
        <is>
          <t>IDR/m</t>
        </is>
      </c>
      <c r="E603" s="113" t="inlineStr">
        <is>
          <t>smsperkasa.com, price per 6 m bar</t>
        </is>
      </c>
      <c r="F603" s="130" t="n">
        <v>127.17</v>
      </c>
      <c r="G603" s="131" t="n">
        <v>4323800</v>
      </c>
      <c r="H603" s="132">
        <f>G603/F603</f>
        <v/>
      </c>
    </row>
    <row r="604">
      <c r="A604" s="113" t="inlineStr">
        <is>
          <t>HOLLOW-80x80x5</t>
        </is>
      </c>
      <c r="B604" s="117" t="inlineStr">
        <is>
          <t>Black hollow section 80 x 80 mm, wall 5 mm</t>
        </is>
      </c>
      <c r="C604" s="114">
        <f>G604/$C$393</f>
        <v/>
      </c>
      <c r="D604" s="113" t="inlineStr">
        <is>
          <t>IDR/m</t>
        </is>
      </c>
      <c r="E604" s="113" t="inlineStr">
        <is>
          <t>smsperkasa.com, price per 6 m bar</t>
        </is>
      </c>
      <c r="F604" s="130" t="n">
        <v>75.36</v>
      </c>
      <c r="G604" s="131" t="n">
        <v>2562300</v>
      </c>
      <c r="H604" s="132">
        <f>G604/F604</f>
        <v/>
      </c>
    </row>
    <row r="605">
      <c r="A605" s="113" t="inlineStr">
        <is>
          <t>HOLLOW-80x80x6</t>
        </is>
      </c>
      <c r="B605" s="117" t="inlineStr">
        <is>
          <t>Black hollow section 80 x 80 mm, wall 6 mm</t>
        </is>
      </c>
      <c r="C605" s="114">
        <f>G605/$C$393</f>
        <v/>
      </c>
      <c r="D605" s="113" t="inlineStr">
        <is>
          <t>IDR/m</t>
        </is>
      </c>
      <c r="E605" s="113" t="inlineStr">
        <is>
          <t>smsperkasa.com, price per 6 m bar</t>
        </is>
      </c>
      <c r="F605" s="130" t="n">
        <v>90.43000000000001</v>
      </c>
      <c r="G605" s="131" t="n">
        <v>3074700</v>
      </c>
      <c r="H605" s="132">
        <f>G605/F605</f>
        <v/>
      </c>
    </row>
    <row r="606">
      <c r="A606" s="113" t="inlineStr">
        <is>
          <t>HOLLOW-100x100x1.2</t>
        </is>
      </c>
      <c r="B606" s="117" t="inlineStr">
        <is>
          <t>Black hollow section 100 x 100 mm, wall 1.2 mm</t>
        </is>
      </c>
      <c r="C606" s="114">
        <f>G606/$C$393</f>
        <v/>
      </c>
      <c r="D606" s="113" t="inlineStr">
        <is>
          <t>IDR/m</t>
        </is>
      </c>
      <c r="E606" s="113" t="inlineStr">
        <is>
          <t>smsperkasa.com, price per 6 m bar</t>
        </is>
      </c>
      <c r="F606" s="130" t="n">
        <v>22.61</v>
      </c>
      <c r="G606" s="131" t="n">
        <v>396300</v>
      </c>
      <c r="H606" s="132">
        <f>G606/F606</f>
        <v/>
      </c>
    </row>
    <row r="607">
      <c r="A607" s="113" t="inlineStr">
        <is>
          <t>HOLLOW-100x100x1.8</t>
        </is>
      </c>
      <c r="B607" s="117" t="inlineStr">
        <is>
          <t>Black hollow section 100 x 100 mm, wall 1.8 mm</t>
        </is>
      </c>
      <c r="C607" s="114">
        <f>G607/$C$393</f>
        <v/>
      </c>
      <c r="D607" s="113" t="inlineStr">
        <is>
          <t>IDR/m</t>
        </is>
      </c>
      <c r="E607" s="113" t="inlineStr">
        <is>
          <t>smsperkasa.com, price per 6 m bar</t>
        </is>
      </c>
      <c r="F607" s="130" t="n">
        <v>33.91</v>
      </c>
      <c r="G607" s="131" t="n">
        <v>594300</v>
      </c>
      <c r="H607" s="132">
        <f>G607/F607</f>
        <v/>
      </c>
    </row>
    <row r="608">
      <c r="A608" s="113" t="inlineStr">
        <is>
          <t>HOLLOW-100x100x2</t>
        </is>
      </c>
      <c r="B608" s="117" t="inlineStr">
        <is>
          <t>Black hollow section 100 x 100 mm, wall 2 mm</t>
        </is>
      </c>
      <c r="C608" s="114">
        <f>G608/$C$393</f>
        <v/>
      </c>
      <c r="D608" s="113" t="inlineStr">
        <is>
          <t>IDR/m</t>
        </is>
      </c>
      <c r="E608" s="113" t="inlineStr">
        <is>
          <t>smsperkasa.com, price per 6 m bar</t>
        </is>
      </c>
      <c r="F608" s="130" t="n">
        <v>37.68</v>
      </c>
      <c r="G608" s="131" t="n">
        <v>660400</v>
      </c>
      <c r="H608" s="132">
        <f>G608/F608</f>
        <v/>
      </c>
    </row>
    <row r="609">
      <c r="A609" s="113" t="inlineStr">
        <is>
          <t>HOLLOW-100x100x2.3</t>
        </is>
      </c>
      <c r="B609" s="117" t="inlineStr">
        <is>
          <t>Black hollow section 100 x 100 mm, wall 2.3 mm</t>
        </is>
      </c>
      <c r="C609" s="114">
        <f>G609/$C$393</f>
        <v/>
      </c>
      <c r="D609" s="113" t="inlineStr">
        <is>
          <t>IDR/m</t>
        </is>
      </c>
      <c r="E609" s="113" t="inlineStr">
        <is>
          <t>smsperkasa.com, price per 6 m bar</t>
        </is>
      </c>
      <c r="F609" s="130" t="n">
        <v>43.33</v>
      </c>
      <c r="G609" s="131" t="n">
        <v>759400</v>
      </c>
      <c r="H609" s="132">
        <f>G609/F609</f>
        <v/>
      </c>
    </row>
    <row r="610">
      <c r="A610" s="113" t="inlineStr">
        <is>
          <t>HOLLOW-100x100x2.5</t>
        </is>
      </c>
      <c r="B610" s="117" t="inlineStr">
        <is>
          <t>Black hollow section 100 x 100 mm, wall 2.5 mm</t>
        </is>
      </c>
      <c r="C610" s="114">
        <f>G610/$C$393</f>
        <v/>
      </c>
      <c r="D610" s="113" t="inlineStr">
        <is>
          <t>IDR/m</t>
        </is>
      </c>
      <c r="E610" s="113" t="inlineStr">
        <is>
          <t>smsperkasa.com, price per 6 m bar</t>
        </is>
      </c>
      <c r="F610" s="130" t="n">
        <v>47.1</v>
      </c>
      <c r="G610" s="131" t="n">
        <v>825500</v>
      </c>
      <c r="H610" s="132">
        <f>G610/F610</f>
        <v/>
      </c>
    </row>
    <row r="611">
      <c r="A611" s="113" t="inlineStr">
        <is>
          <t>HOLLOW-100x100x2.8</t>
        </is>
      </c>
      <c r="B611" s="117" t="inlineStr">
        <is>
          <t>Black hollow section 100 x 100 mm, wall 2.8 mm</t>
        </is>
      </c>
      <c r="C611" s="114">
        <f>G611/$C$393</f>
        <v/>
      </c>
      <c r="D611" s="113" t="inlineStr">
        <is>
          <t>IDR/m</t>
        </is>
      </c>
      <c r="E611" s="113" t="inlineStr">
        <is>
          <t>smsperkasa.com, price per 6 m bar</t>
        </is>
      </c>
      <c r="F611" s="130" t="n">
        <v>52.75</v>
      </c>
      <c r="G611" s="131" t="n">
        <v>924500</v>
      </c>
      <c r="H611" s="132">
        <f>G611/F611</f>
        <v/>
      </c>
    </row>
    <row r="612">
      <c r="A612" s="113" t="inlineStr">
        <is>
          <t>HOLLOW-100x100x3</t>
        </is>
      </c>
      <c r="B612" s="117" t="inlineStr">
        <is>
          <t>Black hollow section 100 x 100 mm, wall 3 mm</t>
        </is>
      </c>
      <c r="C612" s="114">
        <f>G612/$C$393</f>
        <v/>
      </c>
      <c r="D612" s="113" t="inlineStr">
        <is>
          <t>IDR/m</t>
        </is>
      </c>
      <c r="E612" s="113" t="inlineStr">
        <is>
          <t>smsperkasa.com, price per 6 m bar</t>
        </is>
      </c>
      <c r="F612" s="130" t="n">
        <v>56.52</v>
      </c>
      <c r="G612" s="131" t="n">
        <v>990600</v>
      </c>
      <c r="H612" s="132">
        <f>G612/F612</f>
        <v/>
      </c>
    </row>
    <row r="613">
      <c r="A613" s="113" t="inlineStr">
        <is>
          <t>HOLLOW-100x100x3.2</t>
        </is>
      </c>
      <c r="B613" s="117" t="inlineStr">
        <is>
          <t>Black hollow section 100 x 100 mm, wall 3.2 mm</t>
        </is>
      </c>
      <c r="C613" s="114">
        <f>G613/$C$393</f>
        <v/>
      </c>
      <c r="D613" s="113" t="inlineStr">
        <is>
          <t>IDR/m</t>
        </is>
      </c>
      <c r="E613" s="113" t="inlineStr">
        <is>
          <t>smsperkasa.com, price per 6 m bar</t>
        </is>
      </c>
      <c r="F613" s="130" t="n">
        <v>60.29</v>
      </c>
      <c r="G613" s="131" t="n">
        <v>1056700</v>
      </c>
      <c r="H613" s="132">
        <f>G613/F613</f>
        <v/>
      </c>
    </row>
    <row r="614">
      <c r="A614" s="113" t="inlineStr">
        <is>
          <t>HOLLOW-100x100x3.5</t>
        </is>
      </c>
      <c r="B614" s="117" t="inlineStr">
        <is>
          <t>Black hollow section 100 x 100 mm, wall 3.5 mm</t>
        </is>
      </c>
      <c r="C614" s="114">
        <f>G614/$C$393</f>
        <v/>
      </c>
      <c r="D614" s="113" t="inlineStr">
        <is>
          <t>IDR/m</t>
        </is>
      </c>
      <c r="E614" s="113" t="inlineStr">
        <is>
          <t>smsperkasa.com, price per 6 m bar</t>
        </is>
      </c>
      <c r="F614" s="130" t="n">
        <v>65.94</v>
      </c>
      <c r="G614" s="131" t="n">
        <v>1359600</v>
      </c>
      <c r="H614" s="132">
        <f>G614/F614</f>
        <v/>
      </c>
    </row>
    <row r="615">
      <c r="A615" s="113" t="inlineStr">
        <is>
          <t>HOLLOW-100x100x3.8</t>
        </is>
      </c>
      <c r="B615" s="117" t="inlineStr">
        <is>
          <t>Black hollow section 100 x 100 mm, wall 3.8 mm</t>
        </is>
      </c>
      <c r="C615" s="114">
        <f>G615/$C$393</f>
        <v/>
      </c>
      <c r="D615" s="113" t="inlineStr">
        <is>
          <t>IDR/m</t>
        </is>
      </c>
      <c r="E615" s="113" t="inlineStr">
        <is>
          <t>smsperkasa.com, price per 6 m bar</t>
        </is>
      </c>
      <c r="F615" s="130" t="n">
        <v>71.59</v>
      </c>
      <c r="G615" s="131" t="n">
        <v>1476100</v>
      </c>
      <c r="H615" s="132">
        <f>G615/F615</f>
        <v/>
      </c>
    </row>
    <row r="616">
      <c r="A616" s="113" t="inlineStr">
        <is>
          <t>HOLLOW-100x100x4</t>
        </is>
      </c>
      <c r="B616" s="117" t="inlineStr">
        <is>
          <t>Black hollow section 100 x 100 mm, wall 4 mm</t>
        </is>
      </c>
      <c r="C616" s="114">
        <f>G616/$C$393</f>
        <v/>
      </c>
      <c r="D616" s="113" t="inlineStr">
        <is>
          <t>IDR/m</t>
        </is>
      </c>
      <c r="E616" s="113" t="inlineStr">
        <is>
          <t>smsperkasa.com, price per 6 m bar</t>
        </is>
      </c>
      <c r="F616" s="130" t="n">
        <v>75.36</v>
      </c>
      <c r="G616" s="131" t="n">
        <v>1553900</v>
      </c>
      <c r="H616" s="132">
        <f>G616/F616</f>
        <v/>
      </c>
    </row>
    <row r="617">
      <c r="A617" s="113" t="inlineStr">
        <is>
          <t>HOLLOW-100x100x4.5</t>
        </is>
      </c>
      <c r="B617" s="117" t="inlineStr">
        <is>
          <t>Black hollow section 100 x 100 mm, wall 4.5 mm</t>
        </is>
      </c>
      <c r="C617" s="114">
        <f>G617/$C$393</f>
        <v/>
      </c>
      <c r="D617" s="113" t="inlineStr">
        <is>
          <t>IDR/m</t>
        </is>
      </c>
      <c r="E617" s="113" t="inlineStr">
        <is>
          <t>smsperkasa.com, price per 6 m bar</t>
        </is>
      </c>
      <c r="F617" s="130" t="n">
        <v>84.78</v>
      </c>
      <c r="G617" s="131" t="n">
        <v>1748100</v>
      </c>
      <c r="H617" s="132">
        <f>G617/F617</f>
        <v/>
      </c>
    </row>
    <row r="618">
      <c r="A618" s="113" t="inlineStr">
        <is>
          <t>HOLLOW-100x100x5</t>
        </is>
      </c>
      <c r="B618" s="117" t="inlineStr">
        <is>
          <t>Black hollow section 100 x 100 mm, wall 5 mm</t>
        </is>
      </c>
      <c r="C618" s="114">
        <f>G618/$C$393</f>
        <v/>
      </c>
      <c r="D618" s="113" t="inlineStr">
        <is>
          <t>IDR/m</t>
        </is>
      </c>
      <c r="E618" s="113" t="inlineStr">
        <is>
          <t>smsperkasa.com, price per 6 m bar</t>
        </is>
      </c>
      <c r="F618" s="130" t="n">
        <v>94.2</v>
      </c>
      <c r="G618" s="131" t="n">
        <v>3202800</v>
      </c>
      <c r="H618" s="132">
        <f>G618/F618</f>
        <v/>
      </c>
    </row>
    <row r="619">
      <c r="A619" s="113" t="inlineStr">
        <is>
          <t>HOLLOW-100x100x6</t>
        </is>
      </c>
      <c r="B619" s="117" t="inlineStr">
        <is>
          <t>Black hollow section 100 x 100 mm, wall 6 mm</t>
        </is>
      </c>
      <c r="C619" s="114">
        <f>G619/$C$393</f>
        <v/>
      </c>
      <c r="D619" s="113" t="inlineStr">
        <is>
          <t>IDR/m</t>
        </is>
      </c>
      <c r="E619" s="113" t="inlineStr">
        <is>
          <t>smsperkasa.com, price per 6 m bar</t>
        </is>
      </c>
      <c r="F619" s="130" t="n">
        <v>113.04</v>
      </c>
      <c r="G619" s="131" t="n">
        <v>3843400</v>
      </c>
      <c r="H619" s="132">
        <f>G619/F619</f>
        <v/>
      </c>
    </row>
    <row r="620">
      <c r="A620" s="113" t="inlineStr">
        <is>
          <t>HOLLOW-100x150x3</t>
        </is>
      </c>
      <c r="B620" s="117" t="inlineStr">
        <is>
          <t>Black hollow section 100 x 150 mm, wall 3 mm</t>
        </is>
      </c>
      <c r="C620" s="114">
        <f>G620/$C$393</f>
        <v/>
      </c>
      <c r="D620" s="113" t="inlineStr">
        <is>
          <t>IDR/m</t>
        </is>
      </c>
      <c r="E620" s="113" t="inlineStr">
        <is>
          <t>smsperkasa.com, price per 6 m bar</t>
        </is>
      </c>
      <c r="F620" s="130" t="n">
        <v>70.65000000000001</v>
      </c>
      <c r="G620" s="131" t="n">
        <v>2402100</v>
      </c>
      <c r="H620" s="132">
        <f>G620/F620</f>
        <v/>
      </c>
    </row>
    <row r="621">
      <c r="A621" s="113" t="inlineStr">
        <is>
          <t>HOLLOW-100x150x3.2</t>
        </is>
      </c>
      <c r="B621" s="117" t="inlineStr">
        <is>
          <t>Black hollow section 100 x 150 mm, wall 3.2 mm</t>
        </is>
      </c>
      <c r="C621" s="114">
        <f>G621/$C$393</f>
        <v/>
      </c>
      <c r="D621" s="113" t="inlineStr">
        <is>
          <t>IDR/m</t>
        </is>
      </c>
      <c r="E621" s="113" t="inlineStr">
        <is>
          <t>smsperkasa.com, price per 6 m bar</t>
        </is>
      </c>
      <c r="F621" s="130" t="n">
        <v>75.36</v>
      </c>
      <c r="G621" s="131" t="n">
        <v>2562300</v>
      </c>
      <c r="H621" s="132">
        <f>G621/F621</f>
        <v/>
      </c>
    </row>
    <row r="622">
      <c r="A622" s="113" t="inlineStr">
        <is>
          <t>HOLLOW-100x150x3.5</t>
        </is>
      </c>
      <c r="B622" s="117" t="inlineStr">
        <is>
          <t>Black hollow section 100 x 150 mm, wall 3.5 mm</t>
        </is>
      </c>
      <c r="C622" s="114">
        <f>G622/$C$393</f>
        <v/>
      </c>
      <c r="D622" s="113" t="inlineStr">
        <is>
          <t>IDR/m</t>
        </is>
      </c>
      <c r="E622" s="113" t="inlineStr">
        <is>
          <t>smsperkasa.com, price per 6 m bar</t>
        </is>
      </c>
      <c r="F622" s="130" t="n">
        <v>82.43000000000001</v>
      </c>
      <c r="G622" s="131" t="n">
        <v>2802700</v>
      </c>
      <c r="H622" s="132">
        <f>G622/F622</f>
        <v/>
      </c>
    </row>
    <row r="623">
      <c r="A623" s="113" t="inlineStr">
        <is>
          <t>HOLLOW-100x150x3.8</t>
        </is>
      </c>
      <c r="B623" s="117" t="inlineStr">
        <is>
          <t>Black hollow section 100 x 150 mm, wall 3.8 mm</t>
        </is>
      </c>
      <c r="C623" s="114">
        <f>G623/$C$393</f>
        <v/>
      </c>
      <c r="D623" s="113" t="inlineStr">
        <is>
          <t>IDR/m</t>
        </is>
      </c>
      <c r="E623" s="113" t="inlineStr">
        <is>
          <t>smsperkasa.com, price per 6 m bar</t>
        </is>
      </c>
      <c r="F623" s="130" t="n">
        <v>89.48999999999999</v>
      </c>
      <c r="G623" s="131" t="n">
        <v>3042700</v>
      </c>
      <c r="H623" s="132">
        <f>G623/F623</f>
        <v/>
      </c>
    </row>
    <row r="624">
      <c r="A624" s="113" t="inlineStr">
        <is>
          <t>HOLLOW-100x150x4</t>
        </is>
      </c>
      <c r="B624" s="117" t="inlineStr">
        <is>
          <t>Black hollow section 100 x 150 mm, wall 4 mm</t>
        </is>
      </c>
      <c r="C624" s="114">
        <f>G624/$C$393</f>
        <v/>
      </c>
      <c r="D624" s="113" t="inlineStr">
        <is>
          <t>IDR/m</t>
        </is>
      </c>
      <c r="E624" s="113" t="inlineStr">
        <is>
          <t>smsperkasa.com, price per 6 m bar</t>
        </is>
      </c>
      <c r="F624" s="130" t="n">
        <v>94.2</v>
      </c>
      <c r="G624" s="131" t="n">
        <v>3202800</v>
      </c>
      <c r="H624" s="132">
        <f>G624/F624</f>
        <v/>
      </c>
    </row>
    <row r="625">
      <c r="A625" s="113" t="inlineStr">
        <is>
          <t>HOLLOW-100x150x4.5</t>
        </is>
      </c>
      <c r="B625" s="117" t="inlineStr">
        <is>
          <t>Black hollow section 100 x 150 mm, wall 4.5 mm</t>
        </is>
      </c>
      <c r="C625" s="114">
        <f>G625/$C$393</f>
        <v/>
      </c>
      <c r="D625" s="113" t="inlineStr">
        <is>
          <t>IDR/m</t>
        </is>
      </c>
      <c r="E625" s="113" t="inlineStr">
        <is>
          <t>smsperkasa.com, price per 6 m bar</t>
        </is>
      </c>
      <c r="F625" s="130" t="n">
        <v>105.98</v>
      </c>
      <c r="G625" s="131" t="n">
        <v>3603400</v>
      </c>
      <c r="H625" s="132">
        <f>G625/F625</f>
        <v/>
      </c>
    </row>
    <row r="626">
      <c r="A626" s="113" t="inlineStr">
        <is>
          <t>HOLLOW-100x150x5</t>
        </is>
      </c>
      <c r="B626" s="117" t="inlineStr">
        <is>
          <t>Black hollow section 100 x 150 mm, wall 5 mm</t>
        </is>
      </c>
      <c r="C626" s="114">
        <f>G626/$C$393</f>
        <v/>
      </c>
      <c r="D626" s="113" t="inlineStr">
        <is>
          <t>IDR/m</t>
        </is>
      </c>
      <c r="E626" s="113" t="inlineStr">
        <is>
          <t>smsperkasa.com, price per 6 m bar</t>
        </is>
      </c>
      <c r="F626" s="130" t="n">
        <v>117.75</v>
      </c>
      <c r="G626" s="131" t="n">
        <v>4003500</v>
      </c>
      <c r="H626" s="132">
        <f>G626/F626</f>
        <v/>
      </c>
    </row>
    <row r="627">
      <c r="A627" s="113" t="inlineStr">
        <is>
          <t>HOLLOW-100x150x6</t>
        </is>
      </c>
      <c r="B627" s="117" t="inlineStr">
        <is>
          <t>Black hollow section 100 x 150 mm, wall 6 mm</t>
        </is>
      </c>
      <c r="C627" s="114">
        <f>G627/$C$393</f>
        <v/>
      </c>
      <c r="D627" s="113" t="inlineStr">
        <is>
          <t>IDR/m</t>
        </is>
      </c>
      <c r="E627" s="113" t="inlineStr">
        <is>
          <t>smsperkasa.com, price per 6 m bar</t>
        </is>
      </c>
      <c r="F627" s="130" t="n">
        <v>141.3</v>
      </c>
      <c r="G627" s="131" t="n">
        <v>4804200</v>
      </c>
      <c r="H627" s="132">
        <f>G627/F627</f>
        <v/>
      </c>
    </row>
    <row r="628">
      <c r="A628" s="113" t="inlineStr">
        <is>
          <t>HOLLOW-100x150x8</t>
        </is>
      </c>
      <c r="B628" s="117" t="inlineStr">
        <is>
          <t>Black hollow section 100 x 150 mm, wall 8 mm</t>
        </is>
      </c>
      <c r="C628" s="114">
        <f>G628/$C$393</f>
        <v/>
      </c>
      <c r="D628" s="113" t="inlineStr">
        <is>
          <t>IDR/m</t>
        </is>
      </c>
      <c r="E628" s="113" t="inlineStr">
        <is>
          <t>smsperkasa.com, price per 6 m bar</t>
        </is>
      </c>
      <c r="F628" s="130" t="n">
        <v>188.4</v>
      </c>
      <c r="G628" s="131" t="n">
        <v>6405600</v>
      </c>
      <c r="H628" s="132">
        <f>G628/F628</f>
        <v/>
      </c>
    </row>
    <row r="629">
      <c r="A629" s="113" t="inlineStr">
        <is>
          <t>HOLLOW-100x150x10</t>
        </is>
      </c>
      <c r="B629" s="117" t="inlineStr">
        <is>
          <t>Black hollow section 100 x 150 mm, wall 10 mm</t>
        </is>
      </c>
      <c r="C629" s="114">
        <f>G629/$C$393</f>
        <v/>
      </c>
      <c r="D629" s="113" t="inlineStr">
        <is>
          <t>IDR/m</t>
        </is>
      </c>
      <c r="E629" s="113" t="inlineStr">
        <is>
          <t>smsperkasa.com, price per 6 m bar</t>
        </is>
      </c>
      <c r="F629" s="130" t="n">
        <v>235.5</v>
      </c>
      <c r="G629" s="131" t="n">
        <v>8007000</v>
      </c>
      <c r="H629" s="132">
        <f>G629/F629</f>
        <v/>
      </c>
    </row>
    <row r="630">
      <c r="A630" s="113" t="inlineStr">
        <is>
          <t>HOLLOW-100x175x4.5</t>
        </is>
      </c>
      <c r="B630" s="117" t="inlineStr">
        <is>
          <t>Black hollow section 100 x 175 mm, wall 4.5 mm</t>
        </is>
      </c>
      <c r="C630" s="114">
        <f>G630/$C$393</f>
        <v/>
      </c>
      <c r="D630" s="113" t="inlineStr">
        <is>
          <t>IDR/m</t>
        </is>
      </c>
      <c r="E630" s="113" t="inlineStr">
        <is>
          <t>smsperkasa.com, price per 6 m bar</t>
        </is>
      </c>
      <c r="F630" s="130" t="n">
        <v>116.57</v>
      </c>
      <c r="G630" s="131" t="n">
        <v>3963400</v>
      </c>
      <c r="H630" s="132">
        <f>G630/F630</f>
        <v/>
      </c>
    </row>
    <row r="631">
      <c r="A631" s="113" t="inlineStr">
        <is>
          <t>HOLLOW-100x175x5</t>
        </is>
      </c>
      <c r="B631" s="117" t="inlineStr">
        <is>
          <t>Black hollow section 100 x 175 mm, wall 5 mm</t>
        </is>
      </c>
      <c r="C631" s="114">
        <f>G631/$C$393</f>
        <v/>
      </c>
      <c r="D631" s="113" t="inlineStr">
        <is>
          <t>IDR/m</t>
        </is>
      </c>
      <c r="E631" s="113" t="inlineStr">
        <is>
          <t>smsperkasa.com, price per 6 m bar</t>
        </is>
      </c>
      <c r="F631" s="130" t="n">
        <v>129.53</v>
      </c>
      <c r="G631" s="131" t="n">
        <v>4404100</v>
      </c>
      <c r="H631" s="132">
        <f>G631/F631</f>
        <v/>
      </c>
    </row>
    <row r="632">
      <c r="A632" s="113" t="inlineStr">
        <is>
          <t>HOLLOW-100x200x3</t>
        </is>
      </c>
      <c r="B632" s="117" t="inlineStr">
        <is>
          <t>Black hollow section 100 x 200 mm, wall 3 mm</t>
        </is>
      </c>
      <c r="C632" s="114">
        <f>G632/$C$393</f>
        <v/>
      </c>
      <c r="D632" s="113" t="inlineStr">
        <is>
          <t>IDR/m</t>
        </is>
      </c>
      <c r="E632" s="113" t="inlineStr">
        <is>
          <t>smsperkasa.com, price per 6 m bar</t>
        </is>
      </c>
      <c r="F632" s="130" t="n">
        <v>84.78</v>
      </c>
      <c r="G632" s="131" t="n">
        <v>2882600</v>
      </c>
      <c r="H632" s="132">
        <f>G632/F632</f>
        <v/>
      </c>
    </row>
    <row r="633">
      <c r="A633" s="113" t="inlineStr">
        <is>
          <t>HOLLOW-100x200x3.2</t>
        </is>
      </c>
      <c r="B633" s="117" t="inlineStr">
        <is>
          <t>Black hollow section 100 x 200 mm, wall 3.2 mm</t>
        </is>
      </c>
      <c r="C633" s="114">
        <f>G633/$C$393</f>
        <v/>
      </c>
      <c r="D633" s="113" t="inlineStr">
        <is>
          <t>IDR/m</t>
        </is>
      </c>
      <c r="E633" s="113" t="inlineStr">
        <is>
          <t>smsperkasa.com, price per 6 m bar</t>
        </is>
      </c>
      <c r="F633" s="130" t="n">
        <v>90.43000000000001</v>
      </c>
      <c r="G633" s="131" t="n">
        <v>3074700</v>
      </c>
      <c r="H633" s="132">
        <f>G633/F633</f>
        <v/>
      </c>
    </row>
    <row r="634">
      <c r="A634" s="113" t="inlineStr">
        <is>
          <t>HOLLOW-100x200x3.5</t>
        </is>
      </c>
      <c r="B634" s="117" t="inlineStr">
        <is>
          <t>Black hollow section 100 x 200 mm, wall 3.5 mm</t>
        </is>
      </c>
      <c r="C634" s="114">
        <f>G634/$C$393</f>
        <v/>
      </c>
      <c r="D634" s="113" t="inlineStr">
        <is>
          <t>IDR/m</t>
        </is>
      </c>
      <c r="E634" s="113" t="inlineStr">
        <is>
          <t>smsperkasa.com, price per 6 m bar</t>
        </is>
      </c>
      <c r="F634" s="130" t="n">
        <v>98.91</v>
      </c>
      <c r="G634" s="131" t="n">
        <v>3363000</v>
      </c>
      <c r="H634" s="132">
        <f>G634/F634</f>
        <v/>
      </c>
    </row>
    <row r="635">
      <c r="A635" s="113" t="inlineStr">
        <is>
          <t>HOLLOW-100x200x3.8</t>
        </is>
      </c>
      <c r="B635" s="117" t="inlineStr">
        <is>
          <t>Black hollow section 100 x 200 mm, wall 3.8 mm</t>
        </is>
      </c>
      <c r="C635" s="114">
        <f>G635/$C$393</f>
        <v/>
      </c>
      <c r="D635" s="113" t="inlineStr">
        <is>
          <t>IDR/m</t>
        </is>
      </c>
      <c r="E635" s="113" t="inlineStr">
        <is>
          <t>smsperkasa.com, price per 6 m bar</t>
        </is>
      </c>
      <c r="F635" s="130" t="n">
        <v>107.39</v>
      </c>
      <c r="G635" s="131" t="n">
        <v>3651300</v>
      </c>
      <c r="H635" s="132">
        <f>G635/F635</f>
        <v/>
      </c>
    </row>
    <row r="636">
      <c r="A636" s="113" t="inlineStr">
        <is>
          <t>HOLLOW-100x200x4</t>
        </is>
      </c>
      <c r="B636" s="117" t="inlineStr">
        <is>
          <t>Black hollow section 100 x 200 mm, wall 4 mm</t>
        </is>
      </c>
      <c r="C636" s="114">
        <f>G636/$C$393</f>
        <v/>
      </c>
      <c r="D636" s="113" t="inlineStr">
        <is>
          <t>IDR/m</t>
        </is>
      </c>
      <c r="E636" s="113" t="inlineStr">
        <is>
          <t>smsperkasa.com, price per 6 m bar</t>
        </is>
      </c>
      <c r="F636" s="130" t="n">
        <v>113.04</v>
      </c>
      <c r="G636" s="131" t="n">
        <v>3843400</v>
      </c>
      <c r="H636" s="132">
        <f>G636/F636</f>
        <v/>
      </c>
    </row>
    <row r="637">
      <c r="A637" s="113" t="inlineStr">
        <is>
          <t>HOLLOW-100x200x4.5</t>
        </is>
      </c>
      <c r="B637" s="117" t="inlineStr">
        <is>
          <t>Black hollow section 100 x 200 mm, wall 4.5 mm</t>
        </is>
      </c>
      <c r="C637" s="114">
        <f>G637/$C$393</f>
        <v/>
      </c>
      <c r="D637" s="113" t="inlineStr">
        <is>
          <t>IDR/m</t>
        </is>
      </c>
      <c r="E637" s="113" t="inlineStr">
        <is>
          <t>smsperkasa.com, price per 6 m bar</t>
        </is>
      </c>
      <c r="F637" s="130" t="n">
        <v>127.17</v>
      </c>
      <c r="G637" s="131" t="n">
        <v>4323800</v>
      </c>
      <c r="H637" s="132">
        <f>G637/F637</f>
        <v/>
      </c>
    </row>
    <row r="638">
      <c r="A638" s="113" t="inlineStr">
        <is>
          <t>HOLLOW-100x200x5</t>
        </is>
      </c>
      <c r="B638" s="117" t="inlineStr">
        <is>
          <t>Black hollow section 100 x 200 mm, wall 5 mm</t>
        </is>
      </c>
      <c r="C638" s="114">
        <f>G638/$C$393</f>
        <v/>
      </c>
      <c r="D638" s="113" t="inlineStr">
        <is>
          <t>IDR/m</t>
        </is>
      </c>
      <c r="E638" s="113" t="inlineStr">
        <is>
          <t>smsperkasa.com, price per 6 m bar</t>
        </is>
      </c>
      <c r="F638" s="130" t="n">
        <v>141.3</v>
      </c>
      <c r="G638" s="131" t="n">
        <v>4804200</v>
      </c>
      <c r="H638" s="132">
        <f>G638/F638</f>
        <v/>
      </c>
    </row>
    <row r="639">
      <c r="A639" s="113" t="inlineStr">
        <is>
          <t>HOLLOW-100x200x6</t>
        </is>
      </c>
      <c r="B639" s="117" t="inlineStr">
        <is>
          <t>Black hollow section 100 x 200 mm, wall 6 mm</t>
        </is>
      </c>
      <c r="C639" s="114">
        <f>G639/$C$393</f>
        <v/>
      </c>
      <c r="D639" s="113" t="inlineStr">
        <is>
          <t>IDR/m</t>
        </is>
      </c>
      <c r="E639" s="113" t="inlineStr">
        <is>
          <t>smsperkasa.com, price per 6 m bar</t>
        </is>
      </c>
      <c r="F639" s="130" t="n">
        <v>169.56</v>
      </c>
      <c r="G639" s="131" t="n">
        <v>5765100</v>
      </c>
      <c r="H639" s="132">
        <f>G639/F639</f>
        <v/>
      </c>
    </row>
    <row r="640">
      <c r="A640" s="113" t="inlineStr">
        <is>
          <t>HOLLOW-100x200x8</t>
        </is>
      </c>
      <c r="B640" s="117" t="inlineStr">
        <is>
          <t>Black hollow section 100 x 200 mm, wall 8 mm</t>
        </is>
      </c>
      <c r="C640" s="114">
        <f>G640/$C$393</f>
        <v/>
      </c>
      <c r="D640" s="113" t="inlineStr">
        <is>
          <t>IDR/m</t>
        </is>
      </c>
      <c r="E640" s="113" t="inlineStr">
        <is>
          <t>smsperkasa.com, price per 6 m bar</t>
        </is>
      </c>
      <c r="F640" s="130" t="n">
        <v>226.08</v>
      </c>
      <c r="G640" s="131" t="n">
        <v>7686800</v>
      </c>
      <c r="H640" s="132">
        <f>G640/F640</f>
        <v/>
      </c>
    </row>
    <row r="641">
      <c r="A641" s="113" t="inlineStr">
        <is>
          <t>HOLLOW-100x200x10</t>
        </is>
      </c>
      <c r="B641" s="117" t="inlineStr">
        <is>
          <t>Black hollow section 100 x 200 mm, wall 10 mm</t>
        </is>
      </c>
      <c r="C641" s="114">
        <f>G641/$C$393</f>
        <v/>
      </c>
      <c r="D641" s="113" t="inlineStr">
        <is>
          <t>IDR/m</t>
        </is>
      </c>
      <c r="E641" s="113" t="inlineStr">
        <is>
          <t>smsperkasa.com, price per 6 m bar</t>
        </is>
      </c>
      <c r="F641" s="130" t="n">
        <v>282.6</v>
      </c>
      <c r="G641" s="131" t="n">
        <v>9608400</v>
      </c>
      <c r="H641" s="132">
        <f>G641/F641</f>
        <v/>
      </c>
    </row>
    <row r="642">
      <c r="A642" s="113" t="inlineStr">
        <is>
          <t>HOLLOW-100x250x6</t>
        </is>
      </c>
      <c r="B642" s="117" t="inlineStr">
        <is>
          <t>Black hollow section 100 x 250 mm, wall 6 mm</t>
        </is>
      </c>
      <c r="C642" s="114">
        <f>G642/$C$393</f>
        <v/>
      </c>
      <c r="D642" s="113" t="inlineStr">
        <is>
          <t>IDR/m</t>
        </is>
      </c>
      <c r="E642" s="113" t="inlineStr">
        <is>
          <t>smsperkasa.com, price per 6 m bar</t>
        </is>
      </c>
      <c r="F642" s="130" t="n">
        <v>197.82</v>
      </c>
      <c r="G642" s="131" t="n">
        <v>6725900</v>
      </c>
      <c r="H642" s="132">
        <f>G642/F642</f>
        <v/>
      </c>
    </row>
    <row r="643">
      <c r="A643" s="113" t="inlineStr">
        <is>
          <t>HOLLOW-100x250x8</t>
        </is>
      </c>
      <c r="B643" s="117" t="inlineStr">
        <is>
          <t>Black hollow section 100 x 250 mm, wall 8 mm</t>
        </is>
      </c>
      <c r="C643" s="114">
        <f>G643/$C$393</f>
        <v/>
      </c>
      <c r="D643" s="113" t="inlineStr">
        <is>
          <t>IDR/m</t>
        </is>
      </c>
      <c r="E643" s="113" t="inlineStr">
        <is>
          <t>smsperkasa.com, price per 6 m bar</t>
        </is>
      </c>
      <c r="F643" s="130" t="n">
        <v>263.76</v>
      </c>
      <c r="G643" s="131" t="n">
        <v>8967900</v>
      </c>
      <c r="H643" s="132">
        <f>G643/F643</f>
        <v/>
      </c>
    </row>
    <row r="644">
      <c r="A644" s="113" t="inlineStr">
        <is>
          <t>HOLLOW-100x250x10</t>
        </is>
      </c>
      <c r="B644" s="117" t="inlineStr">
        <is>
          <t>Black hollow section 100 x 250 mm, wall 10 mm</t>
        </is>
      </c>
      <c r="C644" s="114">
        <f>G644/$C$393</f>
        <v/>
      </c>
      <c r="D644" s="113" t="inlineStr">
        <is>
          <t>IDR/m</t>
        </is>
      </c>
      <c r="E644" s="113" t="inlineStr">
        <is>
          <t>smsperkasa.com, price per 6 m bar</t>
        </is>
      </c>
      <c r="F644" s="130" t="n">
        <v>329.7</v>
      </c>
      <c r="G644" s="131" t="n">
        <v>11209800</v>
      </c>
      <c r="H644" s="132">
        <f>G644/F644</f>
        <v/>
      </c>
    </row>
    <row r="645">
      <c r="A645" s="113" t="inlineStr">
        <is>
          <t>HOLLOW-100x300x5</t>
        </is>
      </c>
      <c r="B645" s="117" t="inlineStr">
        <is>
          <t>Black hollow section 100 x 300 mm, wall 5 mm</t>
        </is>
      </c>
      <c r="C645" s="114">
        <f>G645/$C$393</f>
        <v/>
      </c>
      <c r="D645" s="113" t="inlineStr">
        <is>
          <t>IDR/m</t>
        </is>
      </c>
      <c r="E645" s="113" t="inlineStr">
        <is>
          <t>smsperkasa.com, price per 6 m bar</t>
        </is>
      </c>
      <c r="F645" s="130" t="n">
        <v>188.4</v>
      </c>
      <c r="G645" s="131" t="n">
        <v>6405600</v>
      </c>
      <c r="H645" s="132">
        <f>G645/F645</f>
        <v/>
      </c>
    </row>
    <row r="646">
      <c r="A646" s="113" t="inlineStr">
        <is>
          <t>HOLLOW-100x300x6</t>
        </is>
      </c>
      <c r="B646" s="117" t="inlineStr">
        <is>
          <t>Black hollow section 100 x 300 mm, wall 6 mm</t>
        </is>
      </c>
      <c r="C646" s="114">
        <f>G646/$C$393</f>
        <v/>
      </c>
      <c r="D646" s="113" t="inlineStr">
        <is>
          <t>IDR/m</t>
        </is>
      </c>
      <c r="E646" s="113" t="inlineStr">
        <is>
          <t>smsperkasa.com, price per 6 m bar</t>
        </is>
      </c>
      <c r="F646" s="130" t="n">
        <v>226.08</v>
      </c>
      <c r="G646" s="131" t="n">
        <v>7686800</v>
      </c>
      <c r="H646" s="132">
        <f>G646/F646</f>
        <v/>
      </c>
    </row>
    <row r="647">
      <c r="A647" s="113" t="inlineStr">
        <is>
          <t>HOLLOW-100x350x5</t>
        </is>
      </c>
      <c r="B647" s="117" t="inlineStr">
        <is>
          <t>Black hollow section 100 x 350 mm, wall 5 mm</t>
        </is>
      </c>
      <c r="C647" s="114">
        <f>G647/$C$393</f>
        <v/>
      </c>
      <c r="D647" s="113" t="inlineStr">
        <is>
          <t>IDR/m</t>
        </is>
      </c>
      <c r="E647" s="113" t="inlineStr">
        <is>
          <t>smsperkasa.com, price per 6 m bar</t>
        </is>
      </c>
      <c r="F647" s="130" t="n">
        <v>211.95</v>
      </c>
      <c r="G647" s="131" t="n">
        <v>7206300</v>
      </c>
      <c r="H647" s="132">
        <f>G647/F647</f>
        <v/>
      </c>
    </row>
    <row r="648">
      <c r="A648" s="113" t="inlineStr">
        <is>
          <t>HOLLOW-100x350x6</t>
        </is>
      </c>
      <c r="B648" s="117" t="inlineStr">
        <is>
          <t>Black hollow section 100 x 350 mm, wall 6 mm</t>
        </is>
      </c>
      <c r="C648" s="114">
        <f>G648/$C$393</f>
        <v/>
      </c>
      <c r="D648" s="113" t="inlineStr">
        <is>
          <t>IDR/m</t>
        </is>
      </c>
      <c r="E648" s="113" t="inlineStr">
        <is>
          <t>smsperkasa.com, price per 6 m bar</t>
        </is>
      </c>
      <c r="F648" s="130" t="n">
        <v>254.34</v>
      </c>
      <c r="G648" s="131" t="n">
        <v>8647600</v>
      </c>
      <c r="H648" s="132">
        <f>G648/F648</f>
        <v/>
      </c>
    </row>
    <row r="649">
      <c r="A649" s="113" t="inlineStr">
        <is>
          <t>HOLLOW-125x125x2.5</t>
        </is>
      </c>
      <c r="B649" s="117" t="inlineStr">
        <is>
          <t>Black hollow section 125 x 125 mm, wall 2.5 mm</t>
        </is>
      </c>
      <c r="C649" s="114">
        <f>G649/$C$393</f>
        <v/>
      </c>
      <c r="D649" s="113" t="inlineStr">
        <is>
          <t>IDR/m</t>
        </is>
      </c>
      <c r="E649" s="113" t="inlineStr">
        <is>
          <t>smsperkasa.com, price per 6 m bar</t>
        </is>
      </c>
      <c r="F649" s="130" t="n">
        <v>58.88</v>
      </c>
      <c r="G649" s="131" t="n">
        <v>2002000</v>
      </c>
      <c r="H649" s="132">
        <f>G649/F649</f>
        <v/>
      </c>
    </row>
    <row r="650">
      <c r="A650" s="113" t="inlineStr">
        <is>
          <t>HOLLOW-125x125x2.8</t>
        </is>
      </c>
      <c r="B650" s="117" t="inlineStr">
        <is>
          <t>Black hollow section 125 x 125 mm, wall 2.8 mm</t>
        </is>
      </c>
      <c r="C650" s="114">
        <f>G650/$C$393</f>
        <v/>
      </c>
      <c r="D650" s="113" t="inlineStr">
        <is>
          <t>IDR/m</t>
        </is>
      </c>
      <c r="E650" s="113" t="inlineStr">
        <is>
          <t>smsperkasa.com, price per 6 m bar</t>
        </is>
      </c>
      <c r="F650" s="130" t="n">
        <v>65.94</v>
      </c>
      <c r="G650" s="131" t="n">
        <v>2242000</v>
      </c>
      <c r="H650" s="132">
        <f>G650/F650</f>
        <v/>
      </c>
    </row>
    <row r="651">
      <c r="A651" s="113" t="inlineStr">
        <is>
          <t>HOLLOW-125x125x3</t>
        </is>
      </c>
      <c r="B651" s="117" t="inlineStr">
        <is>
          <t>Black hollow section 125 x 125 mm, wall 3 mm</t>
        </is>
      </c>
      <c r="C651" s="114">
        <f>G651/$C$393</f>
        <v/>
      </c>
      <c r="D651" s="113" t="inlineStr">
        <is>
          <t>IDR/m</t>
        </is>
      </c>
      <c r="E651" s="113" t="inlineStr">
        <is>
          <t>smsperkasa.com, price per 6 m bar</t>
        </is>
      </c>
      <c r="F651" s="130" t="n">
        <v>70.65000000000001</v>
      </c>
      <c r="G651" s="131" t="n">
        <v>2402100</v>
      </c>
      <c r="H651" s="132">
        <f>G651/F651</f>
        <v/>
      </c>
    </row>
    <row r="652">
      <c r="A652" s="113" t="inlineStr">
        <is>
          <t>HOLLOW-125x125x3.2</t>
        </is>
      </c>
      <c r="B652" s="117" t="inlineStr">
        <is>
          <t>Black hollow section 125 x 125 mm, wall 3.2 mm</t>
        </is>
      </c>
      <c r="C652" s="114">
        <f>G652/$C$393</f>
        <v/>
      </c>
      <c r="D652" s="113" t="inlineStr">
        <is>
          <t>IDR/m</t>
        </is>
      </c>
      <c r="E652" s="113" t="inlineStr">
        <is>
          <t>smsperkasa.com, price per 6 m bar</t>
        </is>
      </c>
      <c r="F652" s="130" t="n">
        <v>75.36</v>
      </c>
      <c r="G652" s="131" t="n">
        <v>2562300</v>
      </c>
      <c r="H652" s="132">
        <f>G652/F652</f>
        <v/>
      </c>
    </row>
    <row r="653">
      <c r="A653" s="113" t="inlineStr">
        <is>
          <t>HOLLOW-125x125x3.5</t>
        </is>
      </c>
      <c r="B653" s="117" t="inlineStr">
        <is>
          <t>Black hollow section 125 x 125 mm, wall 3.5 mm</t>
        </is>
      </c>
      <c r="C653" s="114">
        <f>G653/$C$393</f>
        <v/>
      </c>
      <c r="D653" s="113" t="inlineStr">
        <is>
          <t>IDR/m</t>
        </is>
      </c>
      <c r="E653" s="113" t="inlineStr">
        <is>
          <t>smsperkasa.com, price per 6 m bar</t>
        </is>
      </c>
      <c r="F653" s="130" t="n">
        <v>82.43000000000001</v>
      </c>
      <c r="G653" s="131" t="n">
        <v>2802700</v>
      </c>
      <c r="H653" s="132">
        <f>G653/F653</f>
        <v/>
      </c>
    </row>
    <row r="654">
      <c r="A654" s="113" t="inlineStr">
        <is>
          <t>HOLLOW-125x125x3.8</t>
        </is>
      </c>
      <c r="B654" s="117" t="inlineStr">
        <is>
          <t>Black hollow section 125 x 125 mm, wall 3.8 mm</t>
        </is>
      </c>
      <c r="C654" s="114">
        <f>G654/$C$393</f>
        <v/>
      </c>
      <c r="D654" s="113" t="inlineStr">
        <is>
          <t>IDR/m</t>
        </is>
      </c>
      <c r="E654" s="113" t="inlineStr">
        <is>
          <t>smsperkasa.com, price per 6 m bar</t>
        </is>
      </c>
      <c r="F654" s="130" t="n">
        <v>89.48999999999999</v>
      </c>
      <c r="G654" s="131" t="n">
        <v>3042700</v>
      </c>
      <c r="H654" s="132">
        <f>G654/F654</f>
        <v/>
      </c>
    </row>
    <row r="655">
      <c r="A655" s="113" t="inlineStr">
        <is>
          <t>HOLLOW-125x125x4</t>
        </is>
      </c>
      <c r="B655" s="117" t="inlineStr">
        <is>
          <t>Black hollow section 125 x 125 mm, wall 4 mm</t>
        </is>
      </c>
      <c r="C655" s="114">
        <f>G655/$C$393</f>
        <v/>
      </c>
      <c r="D655" s="113" t="inlineStr">
        <is>
          <t>IDR/m</t>
        </is>
      </c>
      <c r="E655" s="113" t="inlineStr">
        <is>
          <t>smsperkasa.com, price per 6 m bar</t>
        </is>
      </c>
      <c r="F655" s="130" t="n">
        <v>94.2</v>
      </c>
      <c r="G655" s="131" t="n">
        <v>3202800</v>
      </c>
      <c r="H655" s="132">
        <f>G655/F655</f>
        <v/>
      </c>
    </row>
    <row r="656">
      <c r="A656" s="113" t="inlineStr">
        <is>
          <t>HOLLOW-125x125x4.5</t>
        </is>
      </c>
      <c r="B656" s="117" t="inlineStr">
        <is>
          <t>Black hollow section 125 x 125 mm, wall 4.5 mm</t>
        </is>
      </c>
      <c r="C656" s="114">
        <f>G656/$C$393</f>
        <v/>
      </c>
      <c r="D656" s="113" t="inlineStr">
        <is>
          <t>IDR/m</t>
        </is>
      </c>
      <c r="E656" s="113" t="inlineStr">
        <is>
          <t>smsperkasa.com, price per 6 m bar</t>
        </is>
      </c>
      <c r="F656" s="130" t="n">
        <v>105.98</v>
      </c>
      <c r="G656" s="131" t="n">
        <v>3603400</v>
      </c>
      <c r="H656" s="132">
        <f>G656/F656</f>
        <v/>
      </c>
    </row>
    <row r="657">
      <c r="A657" s="113" t="inlineStr">
        <is>
          <t>HOLLOW-125x125x5</t>
        </is>
      </c>
      <c r="B657" s="117" t="inlineStr">
        <is>
          <t>Black hollow section 125 x 125 mm, wall 5 mm</t>
        </is>
      </c>
      <c r="C657" s="114">
        <f>G657/$C$393</f>
        <v/>
      </c>
      <c r="D657" s="113" t="inlineStr">
        <is>
          <t>IDR/m</t>
        </is>
      </c>
      <c r="E657" s="113" t="inlineStr">
        <is>
          <t>smsperkasa.com, price per 6 m bar</t>
        </is>
      </c>
      <c r="F657" s="130" t="n">
        <v>117.75</v>
      </c>
      <c r="G657" s="131" t="n">
        <v>4003500</v>
      </c>
      <c r="H657" s="132">
        <f>G657/F657</f>
        <v/>
      </c>
    </row>
    <row r="658">
      <c r="A658" s="113" t="inlineStr">
        <is>
          <t>HOLLOW-125x175x3</t>
        </is>
      </c>
      <c r="B658" s="117" t="inlineStr">
        <is>
          <t>Black hollow section 125 x 175 mm, wall 3 mm</t>
        </is>
      </c>
      <c r="C658" s="114">
        <f>G658/$C$393</f>
        <v/>
      </c>
      <c r="D658" s="113" t="inlineStr">
        <is>
          <t>IDR/m</t>
        </is>
      </c>
      <c r="E658" s="113" t="inlineStr">
        <is>
          <t>smsperkasa.com, price per 6 m bar</t>
        </is>
      </c>
      <c r="F658" s="130" t="n">
        <v>84.78</v>
      </c>
      <c r="G658" s="131" t="n">
        <v>2882600</v>
      </c>
      <c r="H658" s="132">
        <f>G658/F658</f>
        <v/>
      </c>
    </row>
    <row r="659">
      <c r="A659" s="113" t="inlineStr">
        <is>
          <t>HOLLOW-125x175x3.2</t>
        </is>
      </c>
      <c r="B659" s="117" t="inlineStr">
        <is>
          <t>Black hollow section 125 x 175 mm, wall 3.2 mm</t>
        </is>
      </c>
      <c r="C659" s="114">
        <f>G659/$C$393</f>
        <v/>
      </c>
      <c r="D659" s="113" t="inlineStr">
        <is>
          <t>IDR/m</t>
        </is>
      </c>
      <c r="E659" s="113" t="inlineStr">
        <is>
          <t>smsperkasa.com, price per 6 m bar</t>
        </is>
      </c>
      <c r="F659" s="130" t="n">
        <v>90.43000000000001</v>
      </c>
      <c r="G659" s="131" t="n">
        <v>3074700</v>
      </c>
      <c r="H659" s="132">
        <f>G659/F659</f>
        <v/>
      </c>
    </row>
    <row r="660">
      <c r="A660" s="113" t="inlineStr">
        <is>
          <t>HOLLOW-150x150x3</t>
        </is>
      </c>
      <c r="B660" s="117" t="inlineStr">
        <is>
          <t>Black hollow section 150 x 150 mm, wall 3 mm</t>
        </is>
      </c>
      <c r="C660" s="114">
        <f>G660/$C$393</f>
        <v/>
      </c>
      <c r="D660" s="113" t="inlineStr">
        <is>
          <t>IDR/m</t>
        </is>
      </c>
      <c r="E660" s="113" t="inlineStr">
        <is>
          <t>smsperkasa.com, price per 6 m bar</t>
        </is>
      </c>
      <c r="F660" s="130" t="n">
        <v>84.78</v>
      </c>
      <c r="G660" s="131" t="n">
        <v>2882600</v>
      </c>
      <c r="H660" s="132">
        <f>G660/F660</f>
        <v/>
      </c>
    </row>
    <row r="661">
      <c r="A661" s="113" t="inlineStr">
        <is>
          <t>HOLLOW-150x150x3.2</t>
        </is>
      </c>
      <c r="B661" s="117" t="inlineStr">
        <is>
          <t>Black hollow section 150 x 150 mm, wall 3.2 mm</t>
        </is>
      </c>
      <c r="C661" s="114">
        <f>G661/$C$393</f>
        <v/>
      </c>
      <c r="D661" s="113" t="inlineStr">
        <is>
          <t>IDR/m</t>
        </is>
      </c>
      <c r="E661" s="113" t="inlineStr">
        <is>
          <t>smsperkasa.com, price per 6 m bar</t>
        </is>
      </c>
      <c r="F661" s="130" t="n">
        <v>90.43000000000001</v>
      </c>
      <c r="G661" s="131" t="n">
        <v>3074700</v>
      </c>
      <c r="H661" s="132">
        <f>G661/F661</f>
        <v/>
      </c>
    </row>
    <row r="662">
      <c r="A662" s="113" t="inlineStr">
        <is>
          <t>HOLLOW-150x150x3.5</t>
        </is>
      </c>
      <c r="B662" s="117" t="inlineStr">
        <is>
          <t>Black hollow section 150 x 150 mm, wall 3.5 mm</t>
        </is>
      </c>
      <c r="C662" s="114">
        <f>G662/$C$393</f>
        <v/>
      </c>
      <c r="D662" s="113" t="inlineStr">
        <is>
          <t>IDR/m</t>
        </is>
      </c>
      <c r="E662" s="113" t="inlineStr">
        <is>
          <t>smsperkasa.com, price per 6 m bar</t>
        </is>
      </c>
      <c r="F662" s="130" t="n">
        <v>98.91</v>
      </c>
      <c r="G662" s="131" t="n">
        <v>3363000</v>
      </c>
      <c r="H662" s="132">
        <f>G662/F662</f>
        <v/>
      </c>
    </row>
    <row r="663">
      <c r="A663" s="113" t="inlineStr">
        <is>
          <t>HOLLOW-150x150x3.8</t>
        </is>
      </c>
      <c r="B663" s="117" t="inlineStr">
        <is>
          <t>Black hollow section 150 x 150 mm, wall 3.8 mm</t>
        </is>
      </c>
      <c r="C663" s="114">
        <f>G663/$C$393</f>
        <v/>
      </c>
      <c r="D663" s="113" t="inlineStr">
        <is>
          <t>IDR/m</t>
        </is>
      </c>
      <c r="E663" s="113" t="inlineStr">
        <is>
          <t>smsperkasa.com, price per 6 m bar</t>
        </is>
      </c>
      <c r="F663" s="130" t="n">
        <v>107.39</v>
      </c>
      <c r="G663" s="131" t="n">
        <v>3651300</v>
      </c>
      <c r="H663" s="132">
        <f>G663/F663</f>
        <v/>
      </c>
    </row>
    <row r="664">
      <c r="A664" s="113" t="inlineStr">
        <is>
          <t>HOLLOW-150x150x4</t>
        </is>
      </c>
      <c r="B664" s="117" t="inlineStr">
        <is>
          <t>Black hollow section 150 x 150 mm, wall 4 mm</t>
        </is>
      </c>
      <c r="C664" s="114">
        <f>G664/$C$393</f>
        <v/>
      </c>
      <c r="D664" s="113" t="inlineStr">
        <is>
          <t>IDR/m</t>
        </is>
      </c>
      <c r="E664" s="113" t="inlineStr">
        <is>
          <t>smsperkasa.com, price per 6 m bar</t>
        </is>
      </c>
      <c r="F664" s="130" t="n">
        <v>113.04</v>
      </c>
      <c r="G664" s="131" t="n">
        <v>3843400</v>
      </c>
      <c r="H664" s="132">
        <f>G664/F664</f>
        <v/>
      </c>
    </row>
    <row r="665">
      <c r="A665" s="113" t="inlineStr">
        <is>
          <t>HOLLOW-150x150x4.5</t>
        </is>
      </c>
      <c r="B665" s="117" t="inlineStr">
        <is>
          <t>Black hollow section 150 x 150 mm, wall 4.5 mm</t>
        </is>
      </c>
      <c r="C665" s="114">
        <f>G665/$C$393</f>
        <v/>
      </c>
      <c r="D665" s="113" t="inlineStr">
        <is>
          <t>IDR/m</t>
        </is>
      </c>
      <c r="E665" s="113" t="inlineStr">
        <is>
          <t>smsperkasa.com, price per 6 m bar</t>
        </is>
      </c>
      <c r="F665" s="130" t="n">
        <v>127.17</v>
      </c>
      <c r="G665" s="131" t="n">
        <v>4323800</v>
      </c>
      <c r="H665" s="132">
        <f>G665/F665</f>
        <v/>
      </c>
    </row>
    <row r="666">
      <c r="A666" s="113" t="inlineStr">
        <is>
          <t>HOLLOW-150x150x5</t>
        </is>
      </c>
      <c r="B666" s="117" t="inlineStr">
        <is>
          <t>Black hollow section 150 x 150 mm, wall 5 mm</t>
        </is>
      </c>
      <c r="C666" s="114">
        <f>G666/$C$393</f>
        <v/>
      </c>
      <c r="D666" s="113" t="inlineStr">
        <is>
          <t>IDR/m</t>
        </is>
      </c>
      <c r="E666" s="113" t="inlineStr">
        <is>
          <t>smsperkasa.com, price per 6 m bar</t>
        </is>
      </c>
      <c r="F666" s="130" t="n">
        <v>141.3</v>
      </c>
      <c r="G666" s="131" t="n">
        <v>4804200</v>
      </c>
      <c r="H666" s="132">
        <f>G666/F666</f>
        <v/>
      </c>
    </row>
    <row r="667">
      <c r="A667" s="113" t="inlineStr">
        <is>
          <t>HOLLOW-150x150x6</t>
        </is>
      </c>
      <c r="B667" s="117" t="inlineStr">
        <is>
          <t>Black hollow section 150 x 150 mm, wall 6 mm</t>
        </is>
      </c>
      <c r="C667" s="114">
        <f>G667/$C$393</f>
        <v/>
      </c>
      <c r="D667" s="113" t="inlineStr">
        <is>
          <t>IDR/m</t>
        </is>
      </c>
      <c r="E667" s="113" t="inlineStr">
        <is>
          <t>smsperkasa.com, price per 6 m bar</t>
        </is>
      </c>
      <c r="F667" s="130" t="n">
        <v>169.56</v>
      </c>
      <c r="G667" s="131" t="n">
        <v>5765100</v>
      </c>
      <c r="H667" s="132">
        <f>G667/F667</f>
        <v/>
      </c>
    </row>
    <row r="668">
      <c r="A668" s="113" t="inlineStr">
        <is>
          <t>HOLLOW-150x150x8</t>
        </is>
      </c>
      <c r="B668" s="117" t="inlineStr">
        <is>
          <t>Black hollow section 150 x 150 mm, wall 8 mm</t>
        </is>
      </c>
      <c r="C668" s="114">
        <f>G668/$C$393</f>
        <v/>
      </c>
      <c r="D668" s="113" t="inlineStr">
        <is>
          <t>IDR/m</t>
        </is>
      </c>
      <c r="E668" s="113" t="inlineStr">
        <is>
          <t>smsperkasa.com, price per 6 m bar</t>
        </is>
      </c>
      <c r="F668" s="130" t="n">
        <v>226.08</v>
      </c>
      <c r="G668" s="131" t="n">
        <v>7686800</v>
      </c>
      <c r="H668" s="132">
        <f>G668/F668</f>
        <v/>
      </c>
    </row>
    <row r="669">
      <c r="A669" s="113" t="inlineStr">
        <is>
          <t>HOLLOW-150x150x10</t>
        </is>
      </c>
      <c r="B669" s="117" t="inlineStr">
        <is>
          <t>Black hollow section 150 x 150 mm, wall 10 mm</t>
        </is>
      </c>
      <c r="C669" s="114">
        <f>G669/$C$393</f>
        <v/>
      </c>
      <c r="D669" s="113" t="inlineStr">
        <is>
          <t>IDR/m</t>
        </is>
      </c>
      <c r="E669" s="113" t="inlineStr">
        <is>
          <t>smsperkasa.com, price per 6 m bar</t>
        </is>
      </c>
      <c r="F669" s="130" t="n">
        <v>282.6</v>
      </c>
      <c r="G669" s="131" t="n">
        <v>9608400</v>
      </c>
      <c r="H669" s="132">
        <f>G669/F669</f>
        <v/>
      </c>
    </row>
    <row r="670">
      <c r="A670" s="113" t="inlineStr">
        <is>
          <t>HOLLOW-150x150x12</t>
        </is>
      </c>
      <c r="B670" s="117" t="inlineStr">
        <is>
          <t>Black hollow section 150 x 150 mm, wall 12 mm</t>
        </is>
      </c>
      <c r="C670" s="114">
        <f>G670/$C$393</f>
        <v/>
      </c>
      <c r="D670" s="113" t="inlineStr">
        <is>
          <t>IDR/m</t>
        </is>
      </c>
      <c r="E670" s="113" t="inlineStr">
        <is>
          <t>smsperkasa.com, price per 6 m bar</t>
        </is>
      </c>
      <c r="F670" s="130" t="n">
        <v>339.12</v>
      </c>
      <c r="G670" s="131" t="n">
        <v>11530100</v>
      </c>
      <c r="H670" s="132">
        <f>G670/F670</f>
        <v/>
      </c>
    </row>
    <row r="671">
      <c r="A671" s="113" t="inlineStr">
        <is>
          <t>HOLLOW-150x200x6</t>
        </is>
      </c>
      <c r="B671" s="117" t="inlineStr">
        <is>
          <t>Black hollow section 150 x 200 mm, wall 6 mm</t>
        </is>
      </c>
      <c r="C671" s="114">
        <f>G671/$C$393</f>
        <v/>
      </c>
      <c r="D671" s="113" t="inlineStr">
        <is>
          <t>IDR/m</t>
        </is>
      </c>
      <c r="E671" s="113" t="inlineStr">
        <is>
          <t>smsperkasa.com, price per 6 m bar</t>
        </is>
      </c>
      <c r="F671" s="130" t="n">
        <v>197.82</v>
      </c>
      <c r="G671" s="131" t="n">
        <v>6725900</v>
      </c>
      <c r="H671" s="132">
        <f>G671/F671</f>
        <v/>
      </c>
    </row>
    <row r="672">
      <c r="A672" s="113" t="inlineStr">
        <is>
          <t>HOLLOW-150x200x8</t>
        </is>
      </c>
      <c r="B672" s="117" t="inlineStr">
        <is>
          <t>Black hollow section 150 x 200 mm, wall 8 mm</t>
        </is>
      </c>
      <c r="C672" s="114">
        <f>G672/$C$393</f>
        <v/>
      </c>
      <c r="D672" s="113" t="inlineStr">
        <is>
          <t>IDR/m</t>
        </is>
      </c>
      <c r="E672" s="113" t="inlineStr">
        <is>
          <t>smsperkasa.com, price per 6 m bar</t>
        </is>
      </c>
      <c r="F672" s="130" t="n">
        <v>263.76</v>
      </c>
      <c r="G672" s="131" t="n">
        <v>8967900</v>
      </c>
      <c r="H672" s="132">
        <f>G672/F672</f>
        <v/>
      </c>
    </row>
    <row r="673">
      <c r="A673" s="113" t="inlineStr">
        <is>
          <t>HOLLOW-150x200x10</t>
        </is>
      </c>
      <c r="B673" s="117" t="inlineStr">
        <is>
          <t>Black hollow section 150 x 200 mm, wall 10 mm</t>
        </is>
      </c>
      <c r="C673" s="114">
        <f>G673/$C$393</f>
        <v/>
      </c>
      <c r="D673" s="113" t="inlineStr">
        <is>
          <t>IDR/m</t>
        </is>
      </c>
      <c r="E673" s="113" t="inlineStr">
        <is>
          <t>smsperkasa.com, price per 6 m bar</t>
        </is>
      </c>
      <c r="F673" s="130" t="n">
        <v>329.7</v>
      </c>
      <c r="G673" s="131" t="n">
        <v>11209800</v>
      </c>
      <c r="H673" s="132">
        <f>G673/F673</f>
        <v/>
      </c>
    </row>
    <row r="674">
      <c r="A674" s="113" t="inlineStr">
        <is>
          <t>HOLLOW-150x250x8</t>
        </is>
      </c>
      <c r="B674" s="117" t="inlineStr">
        <is>
          <t>Black hollow section 150 x 250 mm, wall 8 mm</t>
        </is>
      </c>
      <c r="C674" s="114">
        <f>G674/$C$393</f>
        <v/>
      </c>
      <c r="D674" s="113" t="inlineStr">
        <is>
          <t>IDR/m</t>
        </is>
      </c>
      <c r="E674" s="113" t="inlineStr">
        <is>
          <t>smsperkasa.com, price per 6 m bar</t>
        </is>
      </c>
      <c r="F674" s="130" t="n">
        <v>301.44</v>
      </c>
      <c r="G674" s="131" t="n">
        <v>10249000</v>
      </c>
      <c r="H674" s="132">
        <f>G674/F674</f>
        <v/>
      </c>
    </row>
    <row r="675">
      <c r="A675" s="113" t="inlineStr">
        <is>
          <t>HOLLOW-150x250x10</t>
        </is>
      </c>
      <c r="B675" s="117" t="inlineStr">
        <is>
          <t>Black hollow section 150 x 250 mm, wall 10 mm</t>
        </is>
      </c>
      <c r="C675" s="114">
        <f>G675/$C$393</f>
        <v/>
      </c>
      <c r="D675" s="113" t="inlineStr">
        <is>
          <t>IDR/m</t>
        </is>
      </c>
      <c r="E675" s="113" t="inlineStr">
        <is>
          <t>smsperkasa.com, price per 6 m bar</t>
        </is>
      </c>
      <c r="F675" s="130" t="n">
        <v>376.8</v>
      </c>
      <c r="G675" s="131" t="n">
        <v>12811200</v>
      </c>
      <c r="H675" s="132">
        <f>G675/F675</f>
        <v/>
      </c>
    </row>
    <row r="676">
      <c r="A676" s="113" t="inlineStr">
        <is>
          <t>HOLLOW-150x300x8</t>
        </is>
      </c>
      <c r="B676" s="117" t="inlineStr">
        <is>
          <t>Black hollow section 150 x 300 mm, wall 8 mm</t>
        </is>
      </c>
      <c r="C676" s="114">
        <f>G676/$C$393</f>
        <v/>
      </c>
      <c r="D676" s="113" t="inlineStr">
        <is>
          <t>IDR/m</t>
        </is>
      </c>
      <c r="E676" s="113" t="inlineStr">
        <is>
          <t>smsperkasa.com, price per 6 m bar</t>
        </is>
      </c>
      <c r="F676" s="130" t="n">
        <v>339.12</v>
      </c>
      <c r="G676" s="131" t="n">
        <v>11530100</v>
      </c>
      <c r="H676" s="132">
        <f>G676/F676</f>
        <v/>
      </c>
    </row>
    <row r="677">
      <c r="A677" s="113" t="inlineStr">
        <is>
          <t>HOLLOW-150x300x10</t>
        </is>
      </c>
      <c r="B677" s="117" t="inlineStr">
        <is>
          <t>Black hollow section 150 x 300 mm, wall 10 mm</t>
        </is>
      </c>
      <c r="C677" s="114">
        <f>G677/$C$393</f>
        <v/>
      </c>
      <c r="D677" s="113" t="inlineStr">
        <is>
          <t>IDR/m</t>
        </is>
      </c>
      <c r="E677" s="113" t="inlineStr">
        <is>
          <t>smsperkasa.com, price per 6 m bar</t>
        </is>
      </c>
      <c r="F677" s="130" t="n">
        <v>423.9</v>
      </c>
      <c r="G677" s="131" t="n">
        <v>14412600</v>
      </c>
      <c r="H677" s="132">
        <f>G677/F677</f>
        <v/>
      </c>
    </row>
    <row r="678">
      <c r="A678" s="113" t="inlineStr">
        <is>
          <t>HOLLOW-200x200x4.5</t>
        </is>
      </c>
      <c r="B678" s="117" t="inlineStr">
        <is>
          <t>Black hollow section 200 x 200 mm, wall 4.5 mm</t>
        </is>
      </c>
      <c r="C678" s="114">
        <f>G678/$C$393</f>
        <v/>
      </c>
      <c r="D678" s="113" t="inlineStr">
        <is>
          <t>IDR/m</t>
        </is>
      </c>
      <c r="E678" s="113" t="inlineStr">
        <is>
          <t>smsperkasa.com, price per 6 m bar</t>
        </is>
      </c>
      <c r="F678" s="130" t="n">
        <v>169.56</v>
      </c>
      <c r="G678" s="131" t="n">
        <v>5765100</v>
      </c>
      <c r="H678" s="132">
        <f>G678/F678</f>
        <v/>
      </c>
    </row>
    <row r="679">
      <c r="A679" s="113" t="inlineStr">
        <is>
          <t>HOLLOW-200x200x5</t>
        </is>
      </c>
      <c r="B679" s="117" t="inlineStr">
        <is>
          <t>Black hollow section 200 x 200 mm, wall 5 mm</t>
        </is>
      </c>
      <c r="C679" s="114">
        <f>G679/$C$393</f>
        <v/>
      </c>
      <c r="D679" s="113" t="inlineStr">
        <is>
          <t>IDR/m</t>
        </is>
      </c>
      <c r="E679" s="113" t="inlineStr">
        <is>
          <t>smsperkasa.com, price per 6 m bar</t>
        </is>
      </c>
      <c r="F679" s="130" t="n">
        <v>188.4</v>
      </c>
      <c r="G679" s="131" t="n">
        <v>6405600</v>
      </c>
      <c r="H679" s="132">
        <f>G679/F679</f>
        <v/>
      </c>
    </row>
    <row r="680">
      <c r="A680" s="113" t="inlineStr">
        <is>
          <t>HOLLOW-200x200x6</t>
        </is>
      </c>
      <c r="B680" s="117" t="inlineStr">
        <is>
          <t>Black hollow section 200 x 200 mm, wall 6 mm</t>
        </is>
      </c>
      <c r="C680" s="114">
        <f>G680/$C$393</f>
        <v/>
      </c>
      <c r="D680" s="113" t="inlineStr">
        <is>
          <t>IDR/m</t>
        </is>
      </c>
      <c r="E680" s="113" t="inlineStr">
        <is>
          <t>smsperkasa.com, price per 6 m bar</t>
        </is>
      </c>
      <c r="F680" s="130" t="n">
        <v>226.08</v>
      </c>
      <c r="G680" s="131" t="n">
        <v>7686800</v>
      </c>
      <c r="H680" s="132">
        <f>G680/F680</f>
        <v/>
      </c>
    </row>
    <row r="681">
      <c r="A681" s="113" t="inlineStr">
        <is>
          <t>HOLLOW-200x200x8</t>
        </is>
      </c>
      <c r="B681" s="117" t="inlineStr">
        <is>
          <t>Black hollow section 200 x 200 mm, wall 8 mm</t>
        </is>
      </c>
      <c r="C681" s="114">
        <f>G681/$C$393</f>
        <v/>
      </c>
      <c r="D681" s="113" t="inlineStr">
        <is>
          <t>IDR/m</t>
        </is>
      </c>
      <c r="E681" s="113" t="inlineStr">
        <is>
          <t>smsperkasa.com, price per 6 m bar</t>
        </is>
      </c>
      <c r="F681" s="130" t="n">
        <v>301.44</v>
      </c>
      <c r="G681" s="131" t="n">
        <v>10249000</v>
      </c>
      <c r="H681" s="132">
        <f>G681/F681</f>
        <v/>
      </c>
    </row>
    <row r="682">
      <c r="A682" s="113" t="inlineStr">
        <is>
          <t>HOLLOW-200x200x10</t>
        </is>
      </c>
      <c r="B682" s="117" t="inlineStr">
        <is>
          <t>Black hollow section 200 x 200 mm, wall 10 mm</t>
        </is>
      </c>
      <c r="C682" s="114">
        <f>G682/$C$393</f>
        <v/>
      </c>
      <c r="D682" s="113" t="inlineStr">
        <is>
          <t>IDR/m</t>
        </is>
      </c>
      <c r="E682" s="113" t="inlineStr">
        <is>
          <t>smsperkasa.com, price per 6 m bar</t>
        </is>
      </c>
      <c r="F682" s="130" t="n">
        <v>376.8</v>
      </c>
      <c r="G682" s="131" t="n">
        <v>12811200</v>
      </c>
      <c r="H682" s="132">
        <f>G682/F682</f>
        <v/>
      </c>
    </row>
    <row r="683">
      <c r="A683" s="113" t="inlineStr">
        <is>
          <t>HOLLOW-200x300x6</t>
        </is>
      </c>
      <c r="B683" s="117" t="inlineStr">
        <is>
          <t>Black hollow section 200 x 300 mm, wall 6 mm</t>
        </is>
      </c>
      <c r="C683" s="114">
        <f>G683/$C$393</f>
        <v/>
      </c>
      <c r="D683" s="113" t="inlineStr">
        <is>
          <t>IDR/m</t>
        </is>
      </c>
      <c r="E683" s="113" t="inlineStr">
        <is>
          <t>smsperkasa.com, price per 6 m bar</t>
        </is>
      </c>
      <c r="F683" s="130" t="n">
        <v>282.6</v>
      </c>
      <c r="G683" s="131" t="n">
        <v>9608400</v>
      </c>
      <c r="H683" s="132">
        <f>G683/F683</f>
        <v/>
      </c>
    </row>
    <row r="684">
      <c r="A684" s="113" t="inlineStr">
        <is>
          <t>HOLLOW-200x300x8</t>
        </is>
      </c>
      <c r="B684" s="117" t="inlineStr">
        <is>
          <t>Black hollow section 200 x 300 mm, wall 8 mm</t>
        </is>
      </c>
      <c r="C684" s="114">
        <f>G684/$C$393</f>
        <v/>
      </c>
      <c r="D684" s="113" t="inlineStr">
        <is>
          <t>IDR/m</t>
        </is>
      </c>
      <c r="E684" s="113" t="inlineStr">
        <is>
          <t>smsperkasa.com, price per 6 m bar</t>
        </is>
      </c>
      <c r="F684" s="130" t="n">
        <v>376.8</v>
      </c>
      <c r="G684" s="131" t="n">
        <v>12811200</v>
      </c>
      <c r="H684" s="132">
        <f>G684/F684</f>
        <v/>
      </c>
    </row>
    <row r="685">
      <c r="A685" s="113" t="inlineStr">
        <is>
          <t>HOLLOW-200x400x10</t>
        </is>
      </c>
      <c r="B685" s="117" t="inlineStr">
        <is>
          <t>Black hollow section 200 x 400 mm, wall 10 mm</t>
        </is>
      </c>
      <c r="C685" s="114">
        <f>G685/$C$393</f>
        <v/>
      </c>
      <c r="D685" s="113" t="inlineStr">
        <is>
          <t>IDR/m</t>
        </is>
      </c>
      <c r="E685" s="113" t="inlineStr">
        <is>
          <t>smsperkasa.com, price per 6 m bar</t>
        </is>
      </c>
      <c r="F685" s="130" t="n">
        <v>565.2</v>
      </c>
      <c r="G685" s="131" t="n">
        <v>19216800</v>
      </c>
      <c r="H685" s="132">
        <f>G685/F685</f>
        <v/>
      </c>
    </row>
    <row r="686">
      <c r="A686" s="113" t="inlineStr">
        <is>
          <t>HOLLOW-200x400x12</t>
        </is>
      </c>
      <c r="B686" s="117" t="inlineStr">
        <is>
          <t>Black hollow section 200 x 400 mm, wall 12 mm</t>
        </is>
      </c>
      <c r="C686" s="114">
        <f>G686/$C$393</f>
        <v/>
      </c>
      <c r="D686" s="113" t="inlineStr">
        <is>
          <t>IDR/m</t>
        </is>
      </c>
      <c r="E686" s="113" t="inlineStr">
        <is>
          <t>smsperkasa.com, price per 6 m bar</t>
        </is>
      </c>
      <c r="F686" s="130" t="n">
        <v>678.24</v>
      </c>
      <c r="G686" s="131" t="n">
        <v>23060200</v>
      </c>
      <c r="H686" s="132">
        <f>G686/F686</f>
        <v/>
      </c>
    </row>
    <row r="687">
      <c r="A687" s="113" t="inlineStr">
        <is>
          <t>HOLLOW-250x250x6</t>
        </is>
      </c>
      <c r="B687" s="117" t="inlineStr">
        <is>
          <t>Black hollow section 250 x 250 mm, wall 6 mm</t>
        </is>
      </c>
      <c r="C687" s="114">
        <f>G687/$C$393</f>
        <v/>
      </c>
      <c r="D687" s="113" t="inlineStr">
        <is>
          <t>IDR/m</t>
        </is>
      </c>
      <c r="E687" s="113" t="inlineStr">
        <is>
          <t>smsperkasa.com, price per 6 m bar</t>
        </is>
      </c>
      <c r="F687" s="130" t="n">
        <v>282.6</v>
      </c>
      <c r="G687" s="131" t="n">
        <v>9608400</v>
      </c>
      <c r="H687" s="132">
        <f>G687/F687</f>
        <v/>
      </c>
    </row>
    <row r="688">
      <c r="A688" s="113" t="inlineStr">
        <is>
          <t>HOLLOW-250x250x8</t>
        </is>
      </c>
      <c r="B688" s="117" t="inlineStr">
        <is>
          <t>Black hollow section 250 x 250 mm, wall 8 mm</t>
        </is>
      </c>
      <c r="C688" s="114">
        <f>G688/$C$393</f>
        <v/>
      </c>
      <c r="D688" s="113" t="inlineStr">
        <is>
          <t>IDR/m</t>
        </is>
      </c>
      <c r="E688" s="113" t="inlineStr">
        <is>
          <t>smsperkasa.com, price per 6 m bar</t>
        </is>
      </c>
      <c r="F688" s="130" t="n">
        <v>376.8</v>
      </c>
      <c r="G688" s="131" t="n">
        <v>12811200</v>
      </c>
      <c r="H688" s="132">
        <f>G688/F688</f>
        <v/>
      </c>
    </row>
    <row r="689">
      <c r="A689" s="113" t="inlineStr">
        <is>
          <t>HOLLOW-300x300x6</t>
        </is>
      </c>
      <c r="B689" s="117" t="inlineStr">
        <is>
          <t>Black hollow section 300 x 300 mm, wall 6 mm</t>
        </is>
      </c>
      <c r="C689" s="114">
        <f>G689/$C$393</f>
        <v/>
      </c>
      <c r="D689" s="113" t="inlineStr">
        <is>
          <t>IDR/m</t>
        </is>
      </c>
      <c r="E689" s="113" t="inlineStr">
        <is>
          <t>smsperkasa.com, price per 6 m bar</t>
        </is>
      </c>
      <c r="F689" s="130" t="n">
        <v>339.12</v>
      </c>
      <c r="G689" s="131" t="n">
        <v>11530100</v>
      </c>
      <c r="H689" s="132">
        <f>G689/F689</f>
        <v/>
      </c>
    </row>
    <row r="690">
      <c r="A690" s="113" t="inlineStr">
        <is>
          <t>HOLLOW-300x300x8</t>
        </is>
      </c>
      <c r="B690" s="117" t="inlineStr">
        <is>
          <t>Black hollow section 300 x 300 mm, wall 8 mm</t>
        </is>
      </c>
      <c r="C690" s="114">
        <f>G690/$C$393</f>
        <v/>
      </c>
      <c r="D690" s="113" t="inlineStr">
        <is>
          <t>IDR/m</t>
        </is>
      </c>
      <c r="E690" s="113" t="inlineStr">
        <is>
          <t>smsperkasa.com, price per 6 m bar</t>
        </is>
      </c>
      <c r="F690" s="130" t="n">
        <v>452.16</v>
      </c>
      <c r="G690" s="131" t="n">
        <v>15373500</v>
      </c>
      <c r="H690" s="132">
        <f>G690/F690</f>
        <v/>
      </c>
    </row>
  </sheetData>
  <conditionalFormatting sqref="C5:C400">
    <cfRule type="expression" priority="1" dxfId="0" stopIfTrue="0">
      <formula>AND($A5&lt;&gt;"",$A5&lt;&gt;"code",$B5&lt;&gt;"",$C5="")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ColWidth="14.42578125" defaultRowHeight="15" customHeight="1"/>
  <cols>
    <col width="16" customWidth="1" style="59" min="1" max="2"/>
    <col width="18" customWidth="1" style="59" min="3" max="3"/>
    <col width="8" customWidth="1" style="59" min="4" max="4"/>
    <col width="26" customWidth="1" style="59" min="5" max="5"/>
    <col width="10" customWidth="1" style="59" min="6" max="6"/>
    <col width="8.7109375" customWidth="1" style="59" min="7" max="26"/>
  </cols>
  <sheetData>
    <row r="1">
      <c r="A1" s="5" t="inlineStr">
        <is>
          <t>Dropdown lists and thresholds. Do not rename or move.</t>
        </is>
      </c>
    </row>
    <row r="2" ht="30" customHeight="1" s="59">
      <c r="A2" s="8" t="inlineStr">
        <is>
          <t>SOLID_SPECIES</t>
        </is>
      </c>
      <c r="B2" s="8" t="inlineStr">
        <is>
          <t>PANEL_TYPE</t>
        </is>
      </c>
      <c r="C2" s="8" t="inlineStr">
        <is>
          <t>FINISH_RECIPE</t>
        </is>
      </c>
      <c r="D2" s="8" t="inlineStr">
        <is>
          <t>YN</t>
        </is>
      </c>
      <c r="E2" s="8" t="inlineStr">
        <is>
          <t>NORM</t>
        </is>
      </c>
      <c r="F2" s="8" t="inlineStr">
        <is>
          <t>VALUE</t>
        </is>
      </c>
    </row>
    <row r="3">
      <c r="A3" s="2" t="inlineStr">
        <is>
          <t>TEAK</t>
        </is>
      </c>
      <c r="B3" s="2" t="inlineStr">
        <is>
          <t>LND-PLY-E0-3</t>
        </is>
      </c>
      <c r="C3" s="2" t="inlineStr">
        <is>
          <t>NC NATURAL</t>
        </is>
      </c>
      <c r="D3" s="2" t="inlineStr">
        <is>
          <t>Y</t>
        </is>
      </c>
      <c r="E3" s="2" t="inlineStr">
        <is>
          <t>TIER_A_MIN_LEN mm</t>
        </is>
      </c>
      <c r="F3" s="46" t="n">
        <v>1000</v>
      </c>
    </row>
    <row r="4">
      <c r="A4" s="2" t="inlineStr">
        <is>
          <t>MINDI</t>
        </is>
      </c>
      <c r="B4" s="2" t="inlineStr">
        <is>
          <t>LND-PLY-E0-6</t>
        </is>
      </c>
      <c r="C4" s="2" t="inlineStr">
        <is>
          <t>PU DUCO</t>
        </is>
      </c>
      <c r="D4" s="2" t="inlineStr">
        <is>
          <t>N</t>
        </is>
      </c>
      <c r="E4" s="2" t="inlineStr">
        <is>
          <t>TIER_D_MAX_VOL m3</t>
        </is>
      </c>
      <c r="F4" s="46" t="n">
        <v>0.0005</v>
      </c>
    </row>
    <row r="5">
      <c r="A5" s="2" t="inlineStr">
        <is>
          <t>MERANTI</t>
        </is>
      </c>
      <c r="B5" s="2" t="inlineStr">
        <is>
          <t>LND-PLY-E0-9</t>
        </is>
      </c>
      <c r="C5" s="2" t="inlineStr">
        <is>
          <t>NC + GLAZE</t>
        </is>
      </c>
      <c r="E5" s="2" t="inlineStr">
        <is>
          <t>TIER_D_MAX_LEN mm</t>
        </is>
      </c>
      <c r="F5" s="46" t="n">
        <v>300</v>
      </c>
    </row>
    <row r="6">
      <c r="A6" s="2" t="inlineStr">
        <is>
          <t>OTHER</t>
        </is>
      </c>
      <c r="B6" s="2" t="inlineStr">
        <is>
          <t>LND-PLY-E0-12</t>
        </is>
      </c>
      <c r="C6" s="2" t="inlineStr">
        <is>
          <t>NONE (RAW)</t>
        </is>
      </c>
      <c r="E6" s="2" t="inlineStr">
        <is>
          <t>SHEET_L mm</t>
        </is>
      </c>
      <c r="F6" s="46" t="n">
        <v>2440</v>
      </c>
    </row>
    <row r="7">
      <c r="B7" s="2" t="inlineStr">
        <is>
          <t>LND-PLY-E0-15</t>
        </is>
      </c>
      <c r="C7" s="2" t="inlineStr">
        <is>
          <t>OTHER</t>
        </is>
      </c>
      <c r="E7" s="2" t="inlineStr">
        <is>
          <t>SHEET_W mm</t>
        </is>
      </c>
      <c r="F7" s="46" t="n">
        <v>1220</v>
      </c>
    </row>
    <row r="8">
      <c r="B8" s="2" t="inlineStr">
        <is>
          <t>LND-PLY-E0-18</t>
        </is>
      </c>
      <c r="E8" s="2" t="inlineStr">
        <is>
          <t>SHEET_KERF mm</t>
        </is>
      </c>
      <c r="F8" s="46" t="n">
        <v>5</v>
      </c>
    </row>
    <row r="9">
      <c r="B9" s="2" t="inlineStr">
        <is>
          <t>LND-MDF-E0-3</t>
        </is>
      </c>
      <c r="E9" s="2" t="inlineStr">
        <is>
          <t>CARTON_ADD mm</t>
        </is>
      </c>
      <c r="F9" s="46" t="n">
        <v>40</v>
      </c>
    </row>
    <row r="10">
      <c r="B10" s="2" t="inlineStr">
        <is>
          <t>LND-MDF-E0-6</t>
        </is>
      </c>
      <c r="E10" s="2" t="inlineStr">
        <is>
          <t>NARROW_MAX_SECTION mm</t>
        </is>
      </c>
      <c r="F10" s="46" t="n">
        <v>40</v>
      </c>
    </row>
    <row r="11">
      <c r="B11" s="2" t="inlineStr">
        <is>
          <t>LND-MDF-E0-9</t>
        </is>
      </c>
      <c r="E11" s="2" t="inlineStr">
        <is>
          <t>NARROW_MAX_LEN mm</t>
        </is>
      </c>
      <c r="F11" s="46" t="n">
        <v>1500</v>
      </c>
    </row>
    <row r="12">
      <c r="B12" s="2" t="inlineStr">
        <is>
          <t>LND-MDF-E0-12</t>
        </is>
      </c>
    </row>
    <row r="13">
      <c r="B13" s="2" t="inlineStr">
        <is>
          <t>LND-MDF-E0-15</t>
        </is>
      </c>
    </row>
    <row r="14">
      <c r="B14" s="2" t="inlineStr">
        <is>
          <t>LND-MDF-E0-18</t>
        </is>
      </c>
    </row>
    <row r="15">
      <c r="B15" s="2" t="inlineStr">
        <is>
          <t>LND-PLY-E0-3-MSF</t>
        </is>
      </c>
    </row>
    <row r="16">
      <c r="B16" s="2" t="inlineStr">
        <is>
          <t>LND-PLY-E0-3-MSF-V10</t>
        </is>
      </c>
    </row>
    <row r="17">
      <c r="B17" s="2" t="inlineStr">
        <is>
          <t>LND-PLY-E0-3-MSF-V12</t>
        </is>
      </c>
    </row>
    <row r="18">
      <c r="B18" s="2" t="inlineStr">
        <is>
          <t>LND-PLY-E0-3-MDF</t>
        </is>
      </c>
    </row>
    <row r="19">
      <c r="B19" s="2" t="inlineStr">
        <is>
          <t>LND-PLY-E0-3-MDF-V10</t>
        </is>
      </c>
    </row>
    <row r="20">
      <c r="B20" s="2" t="inlineStr">
        <is>
          <t>LND-PLY-E0-3-MDF-V12</t>
        </is>
      </c>
    </row>
    <row r="21" ht="15.75" customHeight="1" s="59">
      <c r="B21" s="2" t="inlineStr">
        <is>
          <t>LND-PLY-E0-6-MSF</t>
        </is>
      </c>
    </row>
    <row r="22" ht="15.75" customHeight="1" s="59">
      <c r="B22" s="2" t="inlineStr">
        <is>
          <t>LND-PLY-E0-6-MSF-V10</t>
        </is>
      </c>
    </row>
    <row r="23" ht="15.75" customHeight="1" s="59">
      <c r="B23" s="2" t="inlineStr">
        <is>
          <t>LND-PLY-E0-6-MSF-V12</t>
        </is>
      </c>
    </row>
    <row r="24" ht="15.75" customHeight="1" s="59">
      <c r="B24" s="2" t="inlineStr">
        <is>
          <t>LND-PLY-E0-6-MDF</t>
        </is>
      </c>
    </row>
    <row r="25" ht="15.75" customHeight="1" s="59">
      <c r="B25" s="2" t="inlineStr">
        <is>
          <t>LND-PLY-E0-6-MDF-V10</t>
        </is>
      </c>
    </row>
    <row r="26" ht="15.75" customHeight="1" s="59">
      <c r="B26" s="2" t="inlineStr">
        <is>
          <t>LND-PLY-E0-6-MDF-V12</t>
        </is>
      </c>
    </row>
    <row r="27" ht="15.75" customHeight="1" s="59">
      <c r="B27" s="2" t="inlineStr">
        <is>
          <t>LND-PLY-E0-9-MSF</t>
        </is>
      </c>
    </row>
    <row r="28" ht="15.75" customHeight="1" s="59">
      <c r="B28" s="2" t="inlineStr">
        <is>
          <t>LND-PLY-E0-9-MSF-V10</t>
        </is>
      </c>
    </row>
    <row r="29" ht="15.75" customHeight="1" s="59">
      <c r="B29" s="2" t="inlineStr">
        <is>
          <t>LND-PLY-E0-9-MSF-V12</t>
        </is>
      </c>
    </row>
    <row r="30" ht="15.75" customHeight="1" s="59">
      <c r="B30" s="2" t="inlineStr">
        <is>
          <t>LND-PLY-E0-9-MDF</t>
        </is>
      </c>
    </row>
    <row r="31" ht="15.75" customHeight="1" s="59">
      <c r="B31" s="2" t="inlineStr">
        <is>
          <t>LND-PLY-E0-9-MDF-V10</t>
        </is>
      </c>
    </row>
    <row r="32" ht="15.75" customHeight="1" s="59">
      <c r="B32" s="2" t="inlineStr">
        <is>
          <t>LND-PLY-E0-9-MDF-V12</t>
        </is>
      </c>
    </row>
    <row r="33" ht="15.75" customHeight="1" s="59">
      <c r="B33" s="2" t="inlineStr">
        <is>
          <t>LND-PLY-E0-12-MSF</t>
        </is>
      </c>
    </row>
    <row r="34" ht="15.75" customHeight="1" s="59">
      <c r="B34" s="2" t="inlineStr">
        <is>
          <t>LND-PLY-E0-12-MSF-V10</t>
        </is>
      </c>
    </row>
    <row r="35" ht="15.75" customHeight="1" s="59">
      <c r="B35" s="2" t="inlineStr">
        <is>
          <t>LND-PLY-E0-12-MSF-V12</t>
        </is>
      </c>
    </row>
    <row r="36" ht="15.75" customHeight="1" s="59">
      <c r="B36" s="2" t="inlineStr">
        <is>
          <t>LND-PLY-E0-12-MDF</t>
        </is>
      </c>
    </row>
    <row r="37" ht="15.75" customHeight="1" s="59">
      <c r="B37" s="2" t="inlineStr">
        <is>
          <t>LND-PLY-E0-12-MDF-V10</t>
        </is>
      </c>
    </row>
    <row r="38" ht="15.75" customHeight="1" s="59">
      <c r="B38" t="inlineStr">
        <is>
          <t>LND-PLY-E0-12-MDF-V12</t>
        </is>
      </c>
    </row>
    <row r="39" ht="15.75" customHeight="1" s="59">
      <c r="B39" t="inlineStr">
        <is>
          <t>LND-PLY-E0-15-MSF</t>
        </is>
      </c>
    </row>
    <row r="40" ht="15.75" customHeight="1" s="59">
      <c r="B40" t="inlineStr">
        <is>
          <t>LND-PLY-E0-15-MSF-V10</t>
        </is>
      </c>
    </row>
    <row r="41" ht="15.75" customHeight="1" s="59">
      <c r="B41" t="inlineStr">
        <is>
          <t>LND-PLY-E0-15-MSF-V12</t>
        </is>
      </c>
    </row>
    <row r="42" ht="15.75" customHeight="1" s="59">
      <c r="B42" t="inlineStr">
        <is>
          <t>LND-PLY-E0-15-MDF</t>
        </is>
      </c>
    </row>
    <row r="43" ht="15.75" customHeight="1" s="59">
      <c r="B43" t="inlineStr">
        <is>
          <t>LND-PLY-E0-15-MDF-V10</t>
        </is>
      </c>
    </row>
    <row r="44" ht="15.75" customHeight="1" s="59">
      <c r="B44" t="inlineStr">
        <is>
          <t>LND-PLY-E0-15-MDF-V12</t>
        </is>
      </c>
    </row>
    <row r="45" ht="15.75" customHeight="1" s="59">
      <c r="B45" t="inlineStr">
        <is>
          <t>LND-PLY-E0-18-MSF</t>
        </is>
      </c>
    </row>
    <row r="46" ht="15.75" customHeight="1" s="59">
      <c r="B46" t="inlineStr">
        <is>
          <t>LND-PLY-E0-18-MSF-V10</t>
        </is>
      </c>
    </row>
    <row r="47" ht="15.75" customHeight="1" s="59">
      <c r="B47" t="inlineStr">
        <is>
          <t>LND-PLY-E0-18-MSF-V12</t>
        </is>
      </c>
    </row>
    <row r="48" ht="15.75" customHeight="1" s="59">
      <c r="B48" t="inlineStr">
        <is>
          <t>LND-PLY-E0-18-MDF</t>
        </is>
      </c>
    </row>
    <row r="49" ht="15.75" customHeight="1" s="59">
      <c r="B49" t="inlineStr">
        <is>
          <t>LND-PLY-E0-18-MDF-V10</t>
        </is>
      </c>
    </row>
    <row r="50" ht="15.75" customHeight="1" s="59">
      <c r="B50" t="inlineStr">
        <is>
          <t>LND-PLY-E0-18-MDF-V12</t>
        </is>
      </c>
    </row>
    <row r="51" ht="15.75" customHeight="1" s="59">
      <c r="B51" t="inlineStr">
        <is>
          <t>LND-MDF-E0-3-MSF</t>
        </is>
      </c>
    </row>
    <row r="52" ht="15.75" customHeight="1" s="59">
      <c r="B52" t="inlineStr">
        <is>
          <t>LND-MDF-E0-3-MSF-V10</t>
        </is>
      </c>
    </row>
    <row r="53" ht="15.75" customHeight="1" s="59">
      <c r="B53" t="inlineStr">
        <is>
          <t>LND-MDF-E0-3-MSF-V12</t>
        </is>
      </c>
    </row>
    <row r="54" ht="15.75" customHeight="1" s="59">
      <c r="B54" t="inlineStr">
        <is>
          <t>LND-MDF-E0-3-MDF</t>
        </is>
      </c>
    </row>
    <row r="55" ht="15.75" customHeight="1" s="59">
      <c r="B55" t="inlineStr">
        <is>
          <t>LND-MDF-E0-3-MDF-V10</t>
        </is>
      </c>
    </row>
    <row r="56" ht="15.75" customHeight="1" s="59">
      <c r="B56" t="inlineStr">
        <is>
          <t>LND-MDF-E0-3-MDF-V12</t>
        </is>
      </c>
    </row>
    <row r="57" ht="15.75" customHeight="1" s="59">
      <c r="B57" t="inlineStr">
        <is>
          <t>LND-MDF-E0-6-MSF</t>
        </is>
      </c>
    </row>
    <row r="58" ht="15.75" customHeight="1" s="59">
      <c r="B58" t="inlineStr">
        <is>
          <t>LND-MDF-E0-6-MSF-V10</t>
        </is>
      </c>
    </row>
    <row r="59" ht="15.75" customHeight="1" s="59">
      <c r="B59" t="inlineStr">
        <is>
          <t>LND-MDF-E0-6-MSF-V12</t>
        </is>
      </c>
    </row>
    <row r="60" ht="15.75" customHeight="1" s="59">
      <c r="B60" t="inlineStr">
        <is>
          <t>LND-MDF-E0-6-MDF</t>
        </is>
      </c>
    </row>
    <row r="61" ht="15.75" customHeight="1" s="59">
      <c r="B61" t="inlineStr">
        <is>
          <t>LND-MDF-E0-6-MDF-V10</t>
        </is>
      </c>
    </row>
    <row r="62" ht="15.75" customHeight="1" s="59">
      <c r="B62" t="inlineStr">
        <is>
          <t>LND-MDF-E0-6-MDF-V12</t>
        </is>
      </c>
    </row>
    <row r="63" ht="15.75" customHeight="1" s="59">
      <c r="B63" t="inlineStr">
        <is>
          <t>LND-MDF-E0-9-MSF</t>
        </is>
      </c>
    </row>
    <row r="64" ht="15.75" customHeight="1" s="59">
      <c r="B64" t="inlineStr">
        <is>
          <t>LND-MDF-E0-9-MSF-V10</t>
        </is>
      </c>
    </row>
    <row r="65" ht="15.75" customHeight="1" s="59">
      <c r="B65" t="inlineStr">
        <is>
          <t>LND-MDF-E0-9-MSF-V12</t>
        </is>
      </c>
    </row>
    <row r="66" ht="15.75" customHeight="1" s="59">
      <c r="B66" t="inlineStr">
        <is>
          <t>LND-MDF-E0-9-MDF</t>
        </is>
      </c>
    </row>
    <row r="67" ht="15.75" customHeight="1" s="59">
      <c r="B67" t="inlineStr">
        <is>
          <t>LND-MDF-E0-9-MDF-V10</t>
        </is>
      </c>
    </row>
    <row r="68" ht="15.75" customHeight="1" s="59">
      <c r="B68" t="inlineStr">
        <is>
          <t>LND-MDF-E0-9-MDF-V12</t>
        </is>
      </c>
    </row>
    <row r="69" ht="15.75" customHeight="1" s="59">
      <c r="B69" t="inlineStr">
        <is>
          <t>LND-MDF-E0-12-MSF</t>
        </is>
      </c>
    </row>
    <row r="70" ht="15.75" customHeight="1" s="59">
      <c r="B70" t="inlineStr">
        <is>
          <t>LND-MDF-E0-12-MSF-V10</t>
        </is>
      </c>
    </row>
    <row r="71" ht="15.75" customHeight="1" s="59">
      <c r="B71" t="inlineStr">
        <is>
          <t>LND-MDF-E0-12-MSF-V12</t>
        </is>
      </c>
    </row>
    <row r="72" ht="15.75" customHeight="1" s="59">
      <c r="B72" t="inlineStr">
        <is>
          <t>LND-MDF-E0-12-MDF</t>
        </is>
      </c>
    </row>
    <row r="73" ht="15.75" customHeight="1" s="59">
      <c r="B73" t="inlineStr">
        <is>
          <t>LND-MDF-E0-12-MDF-V10</t>
        </is>
      </c>
    </row>
    <row r="74" ht="15.75" customHeight="1" s="59">
      <c r="B74" t="inlineStr">
        <is>
          <t>LND-MDF-E0-12-MDF-V12</t>
        </is>
      </c>
    </row>
    <row r="75" ht="15.75" customHeight="1" s="59">
      <c r="B75" t="inlineStr">
        <is>
          <t>LND-MDF-E0-15-MSF</t>
        </is>
      </c>
    </row>
    <row r="76" ht="15.75" customHeight="1" s="59">
      <c r="B76" t="inlineStr">
        <is>
          <t>LND-MDF-E0-15-MSF-V10</t>
        </is>
      </c>
    </row>
    <row r="77" ht="15.75" customHeight="1" s="59">
      <c r="B77" t="inlineStr">
        <is>
          <t>LND-MDF-E0-15-MSF-V12</t>
        </is>
      </c>
    </row>
    <row r="78" ht="15.75" customHeight="1" s="59">
      <c r="B78" t="inlineStr">
        <is>
          <t>LND-MDF-E0-15-MDF</t>
        </is>
      </c>
    </row>
    <row r="79" ht="15.75" customHeight="1" s="59">
      <c r="B79" t="inlineStr">
        <is>
          <t>LND-MDF-E0-15-MDF-V10</t>
        </is>
      </c>
    </row>
    <row r="80" ht="15.75" customHeight="1" s="59">
      <c r="B80" t="inlineStr">
        <is>
          <t>LND-MDF-E0-15-MDF-V12</t>
        </is>
      </c>
    </row>
    <row r="81" ht="15.75" customHeight="1" s="59">
      <c r="B81" t="inlineStr">
        <is>
          <t>LND-MDF-E0-18-MSF</t>
        </is>
      </c>
    </row>
    <row r="82" ht="15.75" customHeight="1" s="59">
      <c r="B82" t="inlineStr">
        <is>
          <t>LND-MDF-E0-18-MSF-V10</t>
        </is>
      </c>
    </row>
    <row r="83" ht="15.75" customHeight="1" s="59">
      <c r="B83" t="inlineStr">
        <is>
          <t>LND-MDF-E0-18-MSF-V12</t>
        </is>
      </c>
    </row>
    <row r="84" ht="15.75" customHeight="1" s="59">
      <c r="B84" t="inlineStr">
        <is>
          <t>LND-MDF-E0-18-MDF</t>
        </is>
      </c>
    </row>
    <row r="85" ht="15.75" customHeight="1" s="59">
      <c r="B85" t="inlineStr">
        <is>
          <t>LND-MDF-E0-18-MDF-V10</t>
        </is>
      </c>
    </row>
    <row r="86" ht="15.75" customHeight="1" s="59">
      <c r="B86" t="inlineStr">
        <is>
          <t>LND-MDF-E0-18-MDF-V12</t>
        </is>
      </c>
    </row>
    <row r="87" ht="15.75" customHeight="1" s="59"/>
    <row r="88" ht="15.75" customHeight="1" s="59"/>
    <row r="89" ht="15.75" customHeight="1" s="59"/>
    <row r="90" ht="15.75" customHeight="1" s="59"/>
    <row r="91" ht="15.75" customHeight="1" s="59"/>
    <row r="92" ht="15.75" customHeight="1" s="59"/>
    <row r="93" ht="15.75" customHeight="1" s="59"/>
    <row r="94" ht="15.75" customHeight="1" s="59"/>
    <row r="95" ht="15.75" customHeight="1" s="59"/>
    <row r="96" ht="15.75" customHeight="1" s="59"/>
    <row r="97" ht="15.75" customHeight="1" s="59"/>
    <row r="98" ht="15.75" customHeight="1" s="59"/>
    <row r="99" ht="15.75" customHeight="1" s="59"/>
    <row r="100" ht="15.75" customHeight="1" s="59"/>
    <row r="101" ht="15.75" customHeight="1" s="59"/>
    <row r="102" ht="15.75" customHeight="1" s="59"/>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row r="175" ht="15.75" customHeight="1" s="59"/>
    <row r="176" ht="15.75" customHeight="1" s="59"/>
    <row r="177" ht="15.75" customHeight="1" s="59"/>
    <row r="178" ht="15.75" customHeight="1" s="59"/>
    <row r="179" ht="15.75" customHeight="1" s="59"/>
    <row r="180" ht="15.75" customHeight="1" s="59"/>
    <row r="181" ht="15.75" customHeight="1" s="59"/>
    <row r="182" ht="15.75" customHeight="1" s="59"/>
    <row r="183" ht="15.75" customHeight="1" s="59"/>
    <row r="184" ht="15.75" customHeight="1" s="59"/>
    <row r="185" ht="15.75" customHeight="1" s="59"/>
    <row r="186" ht="15.75" customHeight="1" s="59"/>
    <row r="187" ht="15.75" customHeight="1" s="59"/>
    <row r="188" ht="15.75" customHeight="1" s="59"/>
    <row r="189" ht="15.75" customHeight="1" s="59"/>
    <row r="190" ht="15.75" customHeight="1" s="59"/>
    <row r="191" ht="15.75" customHeight="1" s="59"/>
    <row r="192" ht="15.75" customHeight="1" s="59"/>
    <row r="193" ht="15.75" customHeight="1" s="59"/>
    <row r="194" ht="15.75" customHeight="1" s="59"/>
    <row r="195" ht="15.75" customHeight="1" s="59"/>
    <row r="196" ht="15.75" customHeight="1" s="59"/>
    <row r="197" ht="15.75" customHeight="1" s="59"/>
    <row r="198" ht="15.75" customHeight="1" s="59"/>
    <row r="199" ht="15.75" customHeight="1" s="59"/>
    <row r="200" ht="15.75" customHeight="1" s="59"/>
    <row r="201" ht="15.75" customHeight="1" s="59"/>
    <row r="202" ht="15.75" customHeight="1" s="59"/>
    <row r="203" ht="15.75" customHeight="1" s="59"/>
    <row r="204" ht="15.75" customHeight="1" s="59"/>
    <row r="205" ht="15.75" customHeight="1" s="59"/>
    <row r="206" ht="15.75" customHeight="1" s="59"/>
    <row r="207" ht="15.75" customHeight="1" s="59"/>
    <row r="208" ht="15.75" customHeight="1" s="59"/>
    <row r="209" ht="15.75" customHeight="1" s="59"/>
    <row r="210" ht="15.75" customHeight="1" s="59"/>
    <row r="211" ht="15.75" customHeight="1" s="59"/>
    <row r="212" ht="15.75" customHeight="1" s="59"/>
    <row r="213" ht="15.75" customHeight="1" s="59"/>
    <row r="214" ht="15.75" customHeight="1" s="59"/>
    <row r="215" ht="15.75" customHeight="1" s="59"/>
    <row r="216" ht="15.75" customHeight="1" s="59"/>
    <row r="217" ht="15.75" customHeight="1" s="59"/>
    <row r="218" ht="15.75" customHeight="1" s="59"/>
    <row r="219" ht="15.75" customHeight="1" s="59"/>
    <row r="220" ht="15.75" customHeight="1" s="59"/>
    <row r="221" ht="15.75" customHeight="1" s="59"/>
    <row r="222" ht="15.75" customHeight="1" s="59"/>
    <row r="223" ht="15.75" customHeight="1" s="59"/>
    <row r="224" ht="15.75" customHeight="1" s="59"/>
    <row r="225" ht="15.75" customHeight="1" s="59"/>
    <row r="226" ht="15.75" customHeight="1" s="59"/>
    <row r="227" ht="15.75" customHeight="1" s="59"/>
    <row r="228" ht="15.75" customHeight="1" s="59"/>
    <row r="229" ht="15.75" customHeight="1" s="59"/>
    <row r="230" ht="15.75" customHeight="1" s="59"/>
    <row r="231" ht="15.75" customHeight="1" s="59"/>
    <row r="232" ht="15.75" customHeight="1" s="59"/>
    <row r="233" ht="15.75" customHeight="1" s="59"/>
    <row r="234" ht="15.75" customHeight="1" s="59"/>
    <row r="235" ht="15.75" customHeight="1" s="59"/>
    <row r="236" ht="15.75" customHeight="1" s="59"/>
    <row r="237" ht="15.75" customHeight="1" s="59"/>
    <row r="238" ht="15.75" customHeight="1" s="59"/>
    <row r="239" ht="15.75" customHeight="1" s="59"/>
    <row r="240" ht="15.75" customHeight="1" s="59"/>
    <row r="241" ht="15.75" customHeight="1" s="59"/>
    <row r="242" ht="15.75" customHeight="1" s="59"/>
    <row r="243" ht="15.75" customHeight="1" s="59"/>
    <row r="244" ht="15.75" customHeight="1" s="59"/>
    <row r="245" ht="15.75" customHeight="1" s="59"/>
    <row r="246" ht="15.75" customHeight="1" s="59"/>
    <row r="247" ht="15.75" customHeight="1" s="59"/>
    <row r="248" ht="15.75" customHeight="1" s="59"/>
    <row r="249" ht="15.75" customHeight="1" s="59"/>
    <row r="250" ht="15.75" customHeight="1" s="59"/>
    <row r="251" ht="15.75" customHeight="1" s="59"/>
    <row r="252" ht="15.75" customHeight="1" s="59"/>
    <row r="253" ht="15.75" customHeight="1" s="59"/>
    <row r="254" ht="15.75" customHeight="1" s="59"/>
    <row r="255" ht="15.75" customHeight="1" s="59"/>
    <row r="256" ht="15.75" customHeight="1" s="59"/>
    <row r="257" ht="15.75" customHeight="1" s="59"/>
    <row r="258" ht="15.75" customHeight="1" s="59"/>
    <row r="259" ht="15.75" customHeight="1" s="59"/>
    <row r="260" ht="15.75" customHeight="1" s="59"/>
    <row r="261" ht="15.75" customHeight="1" s="59"/>
    <row r="262" ht="15.75" customHeight="1" s="59"/>
    <row r="263" ht="15.75" customHeight="1" s="59"/>
    <row r="264" ht="15.75" customHeight="1" s="59"/>
    <row r="265" ht="15.75" customHeight="1" s="59"/>
    <row r="266" ht="15.75" customHeight="1" s="59"/>
    <row r="267" ht="15.75" customHeight="1" s="59"/>
    <row r="268" ht="15.75" customHeight="1" s="59"/>
    <row r="269" ht="15.75" customHeight="1" s="59"/>
    <row r="270" ht="15.75" customHeight="1" s="59"/>
    <row r="271" ht="15.75" customHeight="1" s="59"/>
    <row r="272" ht="15.75" customHeight="1" s="59"/>
    <row r="273" ht="15.75" customHeight="1" s="59"/>
    <row r="274" ht="15.75" customHeight="1" s="59"/>
    <row r="275" ht="15.75" customHeight="1" s="59"/>
    <row r="276" ht="15.75" customHeight="1" s="59"/>
    <row r="277" ht="15.75" customHeight="1" s="59"/>
    <row r="278" ht="15.75" customHeight="1" s="59"/>
    <row r="279" ht="15.75" customHeight="1" s="59"/>
    <row r="280" ht="15.75" customHeight="1" s="59"/>
    <row r="281" ht="15.75" customHeight="1" s="59"/>
    <row r="282" ht="15.75" customHeight="1" s="59"/>
    <row r="283" ht="15.75" customHeight="1" s="59"/>
    <row r="284" ht="15.75" customHeight="1" s="59"/>
    <row r="285" ht="15.75" customHeight="1" s="59"/>
    <row r="286" ht="15.75" customHeight="1" s="59"/>
    <row r="287" ht="15.75" customHeight="1" s="59"/>
    <row r="288" ht="15.75" customHeight="1" s="59"/>
    <row r="289" ht="15.75" customHeight="1" s="59"/>
    <row r="290" ht="15.75" customHeight="1" s="59"/>
    <row r="291" ht="15.75" customHeight="1" s="59"/>
    <row r="292" ht="15.75" customHeight="1" s="59"/>
    <row r="293" ht="15.75" customHeight="1" s="59"/>
    <row r="294" ht="15.75" customHeight="1" s="59"/>
    <row r="295" ht="15.75" customHeight="1" s="59"/>
    <row r="296" ht="15.75" customHeight="1" s="59"/>
    <row r="297" ht="15.75" customHeight="1" s="59"/>
    <row r="298" ht="15.75" customHeight="1" s="59"/>
    <row r="299" ht="15.75" customHeight="1" s="59"/>
    <row r="300" ht="15.75" customHeight="1" s="59"/>
    <row r="301" ht="15.75" customHeight="1" s="59"/>
    <row r="302" ht="15.75" customHeight="1" s="59"/>
    <row r="303" ht="15.75" customHeight="1" s="59"/>
    <row r="304" ht="15.75" customHeight="1" s="59"/>
    <row r="305" ht="15.75" customHeight="1" s="59"/>
    <row r="306" ht="15.75" customHeight="1" s="59"/>
    <row r="307" ht="15.75" customHeight="1" s="59"/>
    <row r="308" ht="15.75" customHeight="1" s="59"/>
    <row r="309" ht="15.75" customHeight="1" s="59"/>
    <row r="310" ht="15.75" customHeight="1" s="59"/>
    <row r="311" ht="15.75" customHeight="1" s="59"/>
    <row r="312" ht="15.75" customHeight="1" s="59"/>
    <row r="313" ht="15.75" customHeight="1" s="59"/>
    <row r="314" ht="15.75" customHeight="1" s="59"/>
    <row r="315" ht="15.75" customHeight="1" s="59"/>
    <row r="316" ht="15.75" customHeight="1" s="59"/>
    <row r="317" ht="15.75" customHeight="1" s="59"/>
    <row r="318" ht="15.75" customHeight="1" s="59"/>
    <row r="319" ht="15.75" customHeight="1" s="59"/>
    <row r="320" ht="15.75" customHeight="1" s="59"/>
    <row r="321" ht="15.75" customHeight="1" s="59"/>
    <row r="322" ht="15.75" customHeight="1" s="59"/>
    <row r="323" ht="15.75" customHeight="1" s="59"/>
    <row r="324" ht="15.75" customHeight="1" s="59"/>
    <row r="325" ht="15.75" customHeight="1" s="59"/>
    <row r="326" ht="15.75" customHeight="1" s="59"/>
    <row r="327" ht="15.75" customHeight="1" s="59"/>
    <row r="328" ht="15.75" customHeight="1" s="59"/>
    <row r="329" ht="15.75" customHeight="1" s="59"/>
    <row r="330" ht="15.75" customHeight="1" s="59"/>
    <row r="331" ht="15.75" customHeight="1" s="59"/>
    <row r="332" ht="15.75" customHeight="1" s="59"/>
    <row r="333" ht="15.75" customHeight="1" s="59"/>
    <row r="334" ht="15.75" customHeight="1" s="59"/>
    <row r="335" ht="15.75" customHeight="1" s="59"/>
    <row r="336" ht="15.75" customHeight="1" s="59"/>
    <row r="337" ht="15.75" customHeight="1" s="59"/>
    <row r="338" ht="15.75" customHeight="1" s="59"/>
    <row r="339" ht="15.75" customHeight="1" s="59"/>
    <row r="340" ht="15.75" customHeight="1" s="59"/>
    <row r="341" ht="15.75" customHeight="1" s="59"/>
    <row r="342" ht="15.75" customHeight="1" s="59"/>
    <row r="343" ht="15.75" customHeight="1" s="59"/>
    <row r="344" ht="15.75" customHeight="1" s="59"/>
    <row r="345" ht="15.75" customHeight="1" s="59"/>
    <row r="346" ht="15.75" customHeight="1" s="59"/>
    <row r="347" ht="15.75" customHeight="1" s="59"/>
    <row r="348" ht="15.75" customHeight="1" s="59"/>
    <row r="349" ht="15.75" customHeight="1" s="59"/>
    <row r="350" ht="15.75" customHeight="1" s="59"/>
    <row r="351" ht="15.75" customHeight="1" s="59"/>
    <row r="352" ht="15.75" customHeight="1" s="59"/>
    <row r="353" ht="15.75" customHeight="1" s="59"/>
    <row r="354" ht="15.75" customHeight="1" s="59"/>
    <row r="355" ht="15.75" customHeight="1" s="59"/>
    <row r="356" ht="15.75" customHeight="1" s="59"/>
    <row r="357" ht="15.75" customHeight="1" s="59"/>
    <row r="358" ht="15.75" customHeight="1" s="59"/>
    <row r="359" ht="15.75" customHeight="1" s="59"/>
    <row r="360" ht="15.75" customHeight="1" s="59"/>
    <row r="361" ht="15.75" customHeight="1" s="59"/>
    <row r="362" ht="15.75" customHeight="1" s="59"/>
    <row r="363" ht="15.75" customHeight="1" s="59"/>
    <row r="364" ht="15.75" customHeight="1" s="59"/>
    <row r="365" ht="15.75" customHeight="1" s="59"/>
    <row r="366" ht="15.75" customHeight="1" s="59"/>
    <row r="367" ht="15.75" customHeight="1" s="59"/>
    <row r="368" ht="15.75" customHeight="1" s="59"/>
    <row r="369" ht="15.75" customHeight="1" s="59"/>
    <row r="370" ht="15.75" customHeight="1" s="59"/>
    <row r="371" ht="15.75" customHeight="1" s="59"/>
    <row r="372" ht="15.75" customHeight="1" s="59"/>
    <row r="373" ht="15.75" customHeight="1" s="59"/>
    <row r="374" ht="15.75" customHeight="1" s="59"/>
    <row r="375" ht="15.75" customHeight="1" s="59"/>
    <row r="376" ht="15.75" customHeight="1" s="59"/>
    <row r="377" ht="15.75" customHeight="1" s="59"/>
    <row r="378" ht="15.75" customHeight="1" s="59"/>
    <row r="379" ht="15.75" customHeight="1" s="59"/>
    <row r="380" ht="15.75" customHeight="1" s="59"/>
    <row r="381" ht="15.75" customHeight="1" s="59"/>
    <row r="382" ht="15.75" customHeight="1" s="59"/>
    <row r="383" ht="15.75" customHeight="1" s="59"/>
    <row r="384" ht="15.75" customHeight="1" s="59"/>
    <row r="385" ht="15.75" customHeight="1" s="59"/>
    <row r="386" ht="15.75" customHeight="1" s="59"/>
    <row r="387" ht="15.75" customHeight="1" s="59"/>
    <row r="388" ht="15.75" customHeight="1" s="59"/>
    <row r="389" ht="15.75" customHeight="1" s="59"/>
    <row r="390" ht="15.75" customHeight="1" s="59"/>
    <row r="391" ht="15.75" customHeight="1" s="59"/>
    <row r="392" ht="15.75" customHeight="1" s="59"/>
    <row r="393" ht="15.75" customHeight="1" s="59"/>
    <row r="394" ht="15.75" customHeight="1" s="59"/>
    <row r="395" ht="15.75" customHeight="1" s="59"/>
    <row r="396" ht="15.75" customHeight="1" s="59"/>
    <row r="397" ht="15.75" customHeight="1" s="59"/>
    <row r="398" ht="15.75" customHeight="1" s="59"/>
    <row r="399" ht="15.75" customHeight="1" s="59"/>
    <row r="400" ht="15.75" customHeight="1" s="59"/>
    <row r="401" ht="15.75" customHeight="1" s="59"/>
    <row r="402" ht="15.75" customHeight="1" s="59"/>
    <row r="403" ht="15.75" customHeight="1" s="59"/>
    <row r="404" ht="15.75" customHeight="1" s="59"/>
    <row r="405" ht="15.75" customHeight="1" s="59"/>
    <row r="406" ht="15.75" customHeight="1" s="59"/>
    <row r="407" ht="15.75" customHeight="1" s="59"/>
    <row r="408" ht="15.75" customHeight="1" s="59"/>
    <row r="409" ht="15.75" customHeight="1" s="59"/>
    <row r="410" ht="15.75" customHeight="1" s="59"/>
    <row r="411" ht="15.75" customHeight="1" s="59"/>
    <row r="412" ht="15.75" customHeight="1" s="59"/>
    <row r="413" ht="15.75" customHeight="1" s="59"/>
    <row r="414" ht="15.75" customHeight="1" s="59"/>
    <row r="415" ht="15.75" customHeight="1" s="59"/>
    <row r="416" ht="15.75" customHeight="1" s="59"/>
    <row r="417" ht="15.75" customHeight="1" s="59"/>
    <row r="418" ht="15.75" customHeight="1" s="59"/>
    <row r="419" ht="15.75" customHeight="1" s="59"/>
    <row r="420" ht="15.75" customHeight="1" s="59"/>
    <row r="421" ht="15.75" customHeight="1" s="59"/>
    <row r="422" ht="15.75" customHeight="1" s="59"/>
    <row r="423" ht="15.75" customHeight="1" s="59"/>
    <row r="424" ht="15.75" customHeight="1" s="59"/>
    <row r="425" ht="15.75" customHeight="1" s="59"/>
    <row r="426" ht="15.75" customHeight="1" s="59"/>
    <row r="427" ht="15.75" customHeight="1" s="59"/>
    <row r="428" ht="15.75" customHeight="1" s="59"/>
    <row r="429" ht="15.75" customHeight="1" s="59"/>
    <row r="430" ht="15.75" customHeight="1" s="59"/>
    <row r="431" ht="15.75" customHeight="1" s="59"/>
    <row r="432" ht="15.75" customHeight="1" s="59"/>
    <row r="433" ht="15.75" customHeight="1" s="59"/>
    <row r="434" ht="15.75" customHeight="1" s="59"/>
    <row r="435" ht="15.75" customHeight="1" s="59"/>
    <row r="436" ht="15.75" customHeight="1" s="59"/>
    <row r="437" ht="15.75" customHeight="1" s="59"/>
    <row r="438" ht="15.75" customHeight="1" s="59"/>
    <row r="439" ht="15.75" customHeight="1" s="59"/>
    <row r="440" ht="15.75" customHeight="1" s="59"/>
    <row r="441" ht="15.75" customHeight="1" s="59"/>
    <row r="442" ht="15.75" customHeight="1" s="59"/>
    <row r="443" ht="15.75" customHeight="1" s="59"/>
    <row r="444" ht="15.75" customHeight="1" s="59"/>
    <row r="445" ht="15.75" customHeight="1" s="59"/>
    <row r="446" ht="15.75" customHeight="1" s="59"/>
    <row r="447" ht="15.75" customHeight="1" s="59"/>
    <row r="448" ht="15.75" customHeight="1" s="59"/>
    <row r="449" ht="15.75" customHeight="1" s="59"/>
    <row r="450" ht="15.75" customHeight="1" s="59"/>
    <row r="451" ht="15.75" customHeight="1" s="59"/>
    <row r="452" ht="15.75" customHeight="1" s="59"/>
    <row r="453" ht="15.75" customHeight="1" s="59"/>
    <row r="454" ht="15.75" customHeight="1" s="59"/>
    <row r="455" ht="15.75" customHeight="1" s="59"/>
    <row r="456" ht="15.75" customHeight="1" s="59"/>
    <row r="457" ht="15.75" customHeight="1" s="59"/>
    <row r="458" ht="15.75" customHeight="1" s="59"/>
    <row r="459" ht="15.75" customHeight="1" s="59"/>
    <row r="460" ht="15.75" customHeight="1" s="59"/>
    <row r="461" ht="15.75" customHeight="1" s="59"/>
    <row r="462" ht="15.75" customHeight="1" s="59"/>
    <row r="463" ht="15.75" customHeight="1" s="59"/>
    <row r="464" ht="15.75" customHeight="1" s="59"/>
    <row r="465" ht="15.75" customHeight="1" s="59"/>
    <row r="466" ht="15.75" customHeight="1" s="59"/>
    <row r="467" ht="15.75" customHeight="1" s="59"/>
    <row r="468" ht="15.75" customHeight="1" s="59"/>
    <row r="469" ht="15.75" customHeight="1" s="59"/>
    <row r="470" ht="15.75" customHeight="1" s="59"/>
    <row r="471" ht="15.75" customHeight="1" s="59"/>
    <row r="472" ht="15.75" customHeight="1" s="59"/>
    <row r="473" ht="15.75" customHeight="1" s="59"/>
    <row r="474" ht="15.75" customHeight="1" s="59"/>
    <row r="475" ht="15.75" customHeight="1" s="59"/>
    <row r="476" ht="15.75" customHeight="1" s="59"/>
    <row r="477" ht="15.75" customHeight="1" s="59"/>
    <row r="478" ht="15.75" customHeight="1" s="59"/>
    <row r="479" ht="15.75" customHeight="1" s="59"/>
    <row r="480" ht="15.75" customHeight="1" s="59"/>
    <row r="481" ht="15.75" customHeight="1" s="59"/>
    <row r="482" ht="15.75" customHeight="1" s="59"/>
    <row r="483" ht="15.75" customHeight="1" s="59"/>
    <row r="484" ht="15.75" customHeight="1" s="59"/>
    <row r="485" ht="15.75" customHeight="1" s="59"/>
    <row r="486" ht="15.75" customHeight="1" s="59"/>
    <row r="487" ht="15.75" customHeight="1" s="59"/>
    <row r="488" ht="15.75" customHeight="1" s="59"/>
    <row r="489" ht="15.75" customHeight="1" s="59"/>
    <row r="490" ht="15.75" customHeight="1" s="59"/>
    <row r="491" ht="15.75" customHeight="1" s="59"/>
    <row r="492" ht="15.75" customHeight="1" s="59"/>
    <row r="493" ht="15.75" customHeight="1" s="59"/>
    <row r="494" ht="15.75" customHeight="1" s="59"/>
    <row r="495" ht="15.75" customHeight="1" s="59"/>
    <row r="496" ht="15.75" customHeight="1" s="59"/>
    <row r="497" ht="15.75" customHeight="1" s="59"/>
    <row r="498" ht="15.75" customHeight="1" s="59"/>
    <row r="499" ht="15.75" customHeight="1" s="59"/>
    <row r="500" ht="15.75" customHeight="1" s="59"/>
    <row r="501" ht="15.75" customHeight="1" s="59"/>
    <row r="502" ht="15.75" customHeight="1" s="59"/>
    <row r="503" ht="15.75" customHeight="1" s="59"/>
    <row r="504" ht="15.75" customHeight="1" s="59"/>
    <row r="505" ht="15.75" customHeight="1" s="59"/>
    <row r="506" ht="15.75" customHeight="1" s="59"/>
    <row r="507" ht="15.75" customHeight="1" s="59"/>
    <row r="508" ht="15.75" customHeight="1" s="59"/>
    <row r="509" ht="15.75" customHeight="1" s="59"/>
    <row r="510" ht="15.75" customHeight="1" s="59"/>
    <row r="511" ht="15.75" customHeight="1" s="59"/>
    <row r="512" ht="15.75" customHeight="1" s="59"/>
    <row r="513" ht="15.75" customHeight="1" s="59"/>
    <row r="514" ht="15.75" customHeight="1" s="59"/>
    <row r="515" ht="15.75" customHeight="1" s="59"/>
    <row r="516" ht="15.75" customHeight="1" s="59"/>
    <row r="517" ht="15.75" customHeight="1" s="59"/>
    <row r="518" ht="15.75" customHeight="1" s="59"/>
    <row r="519" ht="15.75" customHeight="1" s="59"/>
    <row r="520" ht="15.75" customHeight="1" s="59"/>
    <row r="521" ht="15.75" customHeight="1" s="59"/>
    <row r="522" ht="15.75" customHeight="1" s="59"/>
    <row r="523" ht="15.75" customHeight="1" s="59"/>
    <row r="524" ht="15.75" customHeight="1" s="59"/>
    <row r="525" ht="15.75" customHeight="1" s="59"/>
    <row r="526" ht="15.75" customHeight="1" s="59"/>
    <row r="527" ht="15.75" customHeight="1" s="59"/>
    <row r="528" ht="15.75" customHeight="1" s="59"/>
    <row r="529" ht="15.75" customHeight="1" s="59"/>
    <row r="530" ht="15.75" customHeight="1" s="59"/>
    <row r="531" ht="15.75" customHeight="1" s="59"/>
    <row r="532" ht="15.75" customHeight="1" s="59"/>
    <row r="533" ht="15.75" customHeight="1" s="59"/>
    <row r="534" ht="15.75" customHeight="1" s="59"/>
    <row r="535" ht="15.75" customHeight="1" s="59"/>
    <row r="536" ht="15.75" customHeight="1" s="59"/>
    <row r="537" ht="15.75" customHeight="1" s="59"/>
    <row r="538" ht="15.75" customHeight="1" s="59"/>
    <row r="539" ht="15.75" customHeight="1" s="59"/>
    <row r="540" ht="15.75" customHeight="1" s="59"/>
    <row r="541" ht="15.75" customHeight="1" s="59"/>
    <row r="542" ht="15.75" customHeight="1" s="59"/>
    <row r="543" ht="15.75" customHeight="1" s="59"/>
    <row r="544" ht="15.75" customHeight="1" s="59"/>
    <row r="545" ht="15.75" customHeight="1" s="59"/>
    <row r="546" ht="15.75" customHeight="1" s="59"/>
    <row r="547" ht="15.75" customHeight="1" s="59"/>
    <row r="548" ht="15.75" customHeight="1" s="59"/>
    <row r="549" ht="15.75" customHeight="1" s="59"/>
    <row r="550" ht="15.75" customHeight="1" s="59"/>
    <row r="551" ht="15.75" customHeight="1" s="59"/>
    <row r="552" ht="15.75" customHeight="1" s="59"/>
    <row r="553" ht="15.75" customHeight="1" s="59"/>
    <row r="554" ht="15.75" customHeight="1" s="59"/>
    <row r="555" ht="15.75" customHeight="1" s="59"/>
    <row r="556" ht="15.75" customHeight="1" s="59"/>
    <row r="557" ht="15.75" customHeight="1" s="59"/>
    <row r="558" ht="15.75" customHeight="1" s="59"/>
    <row r="559" ht="15.75" customHeight="1" s="59"/>
    <row r="560" ht="15.75" customHeight="1" s="59"/>
    <row r="561" ht="15.75" customHeight="1" s="59"/>
    <row r="562" ht="15.75" customHeight="1" s="59"/>
    <row r="563" ht="15.75" customHeight="1" s="59"/>
    <row r="564" ht="15.75" customHeight="1" s="59"/>
    <row r="565" ht="15.75" customHeight="1" s="59"/>
    <row r="566" ht="15.75" customHeight="1" s="59"/>
    <row r="567" ht="15.75" customHeight="1" s="59"/>
    <row r="568" ht="15.75" customHeight="1" s="59"/>
    <row r="569" ht="15.75" customHeight="1" s="59"/>
    <row r="570" ht="15.75" customHeight="1" s="59"/>
    <row r="571" ht="15.75" customHeight="1" s="59"/>
    <row r="572" ht="15.75" customHeight="1" s="59"/>
    <row r="573" ht="15.75" customHeight="1" s="59"/>
    <row r="574" ht="15.75" customHeight="1" s="59"/>
    <row r="575" ht="15.75" customHeight="1" s="59"/>
    <row r="576" ht="15.75" customHeight="1" s="59"/>
    <row r="577" ht="15.75" customHeight="1" s="59"/>
    <row r="578" ht="15.75" customHeight="1" s="59"/>
    <row r="579" ht="15.75" customHeight="1" s="59"/>
    <row r="580" ht="15.75" customHeight="1" s="59"/>
    <row r="581" ht="15.75" customHeight="1" s="59"/>
    <row r="582" ht="15.75" customHeight="1" s="59"/>
    <row r="583" ht="15.75" customHeight="1" s="59"/>
    <row r="584" ht="15.75" customHeight="1" s="59"/>
    <row r="585" ht="15.75" customHeight="1" s="59"/>
    <row r="586" ht="15.75" customHeight="1" s="59"/>
    <row r="587" ht="15.75" customHeight="1" s="59"/>
    <row r="588" ht="15.75" customHeight="1" s="59"/>
    <row r="589" ht="15.75" customHeight="1" s="59"/>
    <row r="590" ht="15.75" customHeight="1" s="59"/>
    <row r="591" ht="15.75" customHeight="1" s="59"/>
    <row r="592" ht="15.75" customHeight="1" s="59"/>
    <row r="593" ht="15.75" customHeight="1" s="59"/>
    <row r="594" ht="15.75" customHeight="1" s="59"/>
    <row r="595" ht="15.75" customHeight="1" s="59"/>
    <row r="596" ht="15.75" customHeight="1" s="59"/>
    <row r="597" ht="15.75" customHeight="1" s="59"/>
    <row r="598" ht="15.75" customHeight="1" s="59"/>
    <row r="599" ht="15.75" customHeight="1" s="59"/>
    <row r="600" ht="15.75" customHeight="1" s="59"/>
    <row r="601" ht="15.75" customHeight="1" s="59"/>
    <row r="602" ht="15.75" customHeight="1" s="59"/>
    <row r="603" ht="15.75" customHeight="1" s="59"/>
    <row r="604" ht="15.75" customHeight="1" s="59"/>
    <row r="605" ht="15.75" customHeight="1" s="59"/>
    <row r="606" ht="15.75" customHeight="1" s="59"/>
    <row r="607" ht="15.75" customHeight="1" s="59"/>
    <row r="608" ht="15.75" customHeight="1" s="59"/>
    <row r="609" ht="15.75" customHeight="1" s="59"/>
    <row r="610" ht="15.75" customHeight="1" s="59"/>
    <row r="611" ht="15.75" customHeight="1" s="59"/>
    <row r="612" ht="15.75" customHeight="1" s="59"/>
    <row r="613" ht="15.75" customHeight="1" s="59"/>
    <row r="614" ht="15.75" customHeight="1" s="59"/>
    <row r="615" ht="15.75" customHeight="1" s="59"/>
    <row r="616" ht="15.75" customHeight="1" s="59"/>
    <row r="617" ht="15.75" customHeight="1" s="59"/>
    <row r="618" ht="15.75" customHeight="1" s="59"/>
    <row r="619" ht="15.75" customHeight="1" s="59"/>
    <row r="620" ht="15.75" customHeight="1" s="59"/>
    <row r="621" ht="15.75" customHeight="1" s="59"/>
    <row r="622" ht="15.75" customHeight="1" s="59"/>
    <row r="623" ht="15.75" customHeight="1" s="59"/>
    <row r="624" ht="15.75" customHeight="1" s="59"/>
    <row r="625" ht="15.75" customHeight="1" s="59"/>
    <row r="626" ht="15.75" customHeight="1" s="59"/>
    <row r="627" ht="15.75" customHeight="1" s="59"/>
    <row r="628" ht="15.75" customHeight="1" s="59"/>
    <row r="629" ht="15.75" customHeight="1" s="59"/>
    <row r="630" ht="15.75" customHeight="1" s="59"/>
    <row r="631" ht="15.75" customHeight="1" s="59"/>
    <row r="632" ht="15.75" customHeight="1" s="59"/>
    <row r="633" ht="15.75" customHeight="1" s="59"/>
    <row r="634" ht="15.75" customHeight="1" s="59"/>
    <row r="635" ht="15.75" customHeight="1" s="59"/>
    <row r="636" ht="15.75" customHeight="1" s="59"/>
    <row r="637" ht="15.75" customHeight="1" s="59"/>
    <row r="638" ht="15.75" customHeight="1" s="59"/>
    <row r="639" ht="15.75" customHeight="1" s="59"/>
    <row r="640" ht="15.75" customHeight="1" s="59"/>
    <row r="641" ht="15.75" customHeight="1" s="59"/>
    <row r="642" ht="15.75" customHeight="1" s="59"/>
    <row r="643" ht="15.75" customHeight="1" s="59"/>
    <row r="644" ht="15.75" customHeight="1" s="59"/>
    <row r="645" ht="15.75" customHeight="1" s="59"/>
    <row r="646" ht="15.75" customHeight="1" s="59"/>
    <row r="647" ht="15.75" customHeight="1" s="59"/>
    <row r="648" ht="15.75" customHeight="1" s="59"/>
    <row r="649" ht="15.75" customHeight="1" s="59"/>
    <row r="650" ht="15.75" customHeight="1" s="59"/>
    <row r="651" ht="15.75" customHeight="1" s="59"/>
    <row r="652" ht="15.75" customHeight="1" s="59"/>
    <row r="653" ht="15.75" customHeight="1" s="59"/>
    <row r="654" ht="15.75" customHeight="1" s="59"/>
    <row r="655" ht="15.75" customHeight="1" s="59"/>
    <row r="656" ht="15.75" customHeight="1" s="59"/>
    <row r="657" ht="15.75" customHeight="1" s="59"/>
    <row r="658" ht="15.75" customHeight="1" s="59"/>
    <row r="659" ht="15.75" customHeight="1" s="59"/>
    <row r="660" ht="15.75" customHeight="1" s="59"/>
    <row r="661" ht="15.75" customHeight="1" s="59"/>
    <row r="662" ht="15.75" customHeight="1" s="59"/>
    <row r="663" ht="15.75" customHeight="1" s="59"/>
    <row r="664" ht="15.75" customHeight="1" s="59"/>
    <row r="665" ht="15.75" customHeight="1" s="59"/>
    <row r="666" ht="15.75" customHeight="1" s="59"/>
    <row r="667" ht="15.75" customHeight="1" s="59"/>
    <row r="668" ht="15.75" customHeight="1" s="59"/>
    <row r="669" ht="15.75" customHeight="1" s="59"/>
    <row r="670" ht="15.75" customHeight="1" s="59"/>
    <row r="671" ht="15.75" customHeight="1" s="59"/>
    <row r="672" ht="15.75" customHeight="1" s="59"/>
    <row r="673" ht="15.75" customHeight="1" s="59"/>
    <row r="674" ht="15.75" customHeight="1" s="59"/>
    <row r="675" ht="15.75" customHeight="1" s="59"/>
    <row r="676" ht="15.75" customHeight="1" s="59"/>
    <row r="677" ht="15.75" customHeight="1" s="59"/>
    <row r="678" ht="15.75" customHeight="1" s="59"/>
    <row r="679" ht="15.75" customHeight="1" s="59"/>
    <row r="680" ht="15.75" customHeight="1" s="59"/>
    <row r="681" ht="15.75" customHeight="1" s="59"/>
    <row r="682" ht="15.75" customHeight="1" s="59"/>
    <row r="683" ht="15.75" customHeight="1" s="59"/>
    <row r="684" ht="15.75" customHeight="1" s="59"/>
    <row r="685" ht="15.75" customHeight="1" s="59"/>
    <row r="686" ht="15.75" customHeight="1" s="59"/>
    <row r="687" ht="15.75" customHeight="1" s="59"/>
    <row r="688" ht="15.75" customHeight="1" s="59"/>
    <row r="689" ht="15.75" customHeight="1" s="59"/>
    <row r="690" ht="15.75" customHeight="1" s="59"/>
    <row r="691" ht="15.75" customHeight="1" s="59"/>
    <row r="692" ht="15.75" customHeight="1" s="59"/>
    <row r="693" ht="15.75" customHeight="1" s="59"/>
    <row r="694" ht="15.75" customHeight="1" s="59"/>
    <row r="695" ht="15.75" customHeight="1" s="59"/>
    <row r="696" ht="15.75" customHeight="1" s="59"/>
    <row r="697" ht="15.75" customHeight="1" s="59"/>
    <row r="698" ht="15.75" customHeight="1" s="59"/>
    <row r="699" ht="15.75" customHeight="1" s="59"/>
    <row r="700" ht="15.75" customHeight="1" s="59"/>
    <row r="701" ht="15.75" customHeight="1" s="59"/>
    <row r="702" ht="15.75" customHeight="1" s="59"/>
    <row r="703" ht="15.75" customHeight="1" s="59"/>
    <row r="704" ht="15.75" customHeight="1" s="59"/>
    <row r="705" ht="15.75" customHeight="1" s="59"/>
    <row r="706" ht="15.75" customHeight="1" s="59"/>
    <row r="707" ht="15.75" customHeight="1" s="59"/>
    <row r="708" ht="15.75" customHeight="1" s="59"/>
    <row r="709" ht="15.75" customHeight="1" s="59"/>
    <row r="710" ht="15.75" customHeight="1" s="59"/>
    <row r="711" ht="15.75" customHeight="1" s="59"/>
    <row r="712" ht="15.75" customHeight="1" s="59"/>
    <row r="713" ht="15.75" customHeight="1" s="59"/>
    <row r="714" ht="15.75" customHeight="1" s="59"/>
    <row r="715" ht="15.75" customHeight="1" s="59"/>
    <row r="716" ht="15.75" customHeight="1" s="59"/>
    <row r="717" ht="15.75" customHeight="1" s="59"/>
    <row r="718" ht="15.75" customHeight="1" s="59"/>
    <row r="719" ht="15.75" customHeight="1" s="59"/>
    <row r="720" ht="15.75" customHeight="1" s="59"/>
    <row r="721" ht="15.75" customHeight="1" s="59"/>
    <row r="722" ht="15.75" customHeight="1" s="59"/>
    <row r="723" ht="15.75" customHeight="1" s="59"/>
    <row r="724" ht="15.75" customHeight="1" s="59"/>
    <row r="725" ht="15.75" customHeight="1" s="59"/>
    <row r="726" ht="15.75" customHeight="1" s="59"/>
    <row r="727" ht="15.75" customHeight="1" s="59"/>
    <row r="728" ht="15.75" customHeight="1" s="59"/>
    <row r="729" ht="15.75" customHeight="1" s="59"/>
    <row r="730" ht="15.75" customHeight="1" s="59"/>
    <row r="731" ht="15.75" customHeight="1" s="59"/>
    <row r="732" ht="15.75" customHeight="1" s="59"/>
    <row r="733" ht="15.75" customHeight="1" s="59"/>
    <row r="734" ht="15.75" customHeight="1" s="59"/>
    <row r="735" ht="15.75" customHeight="1" s="59"/>
    <row r="736" ht="15.75" customHeight="1" s="59"/>
    <row r="737" ht="15.75" customHeight="1" s="59"/>
    <row r="738" ht="15.75" customHeight="1" s="59"/>
    <row r="739" ht="15.75" customHeight="1" s="59"/>
    <row r="740" ht="15.75" customHeight="1" s="59"/>
    <row r="741" ht="15.75" customHeight="1" s="59"/>
    <row r="742" ht="15.75" customHeight="1" s="59"/>
    <row r="743" ht="15.75" customHeight="1" s="59"/>
    <row r="744" ht="15.75" customHeight="1" s="59"/>
    <row r="745" ht="15.75" customHeight="1" s="59"/>
    <row r="746" ht="15.75" customHeight="1" s="59"/>
    <row r="747" ht="15.75" customHeight="1" s="59"/>
    <row r="748" ht="15.75" customHeight="1" s="59"/>
    <row r="749" ht="15.75" customHeight="1" s="59"/>
    <row r="750" ht="15.75" customHeight="1" s="59"/>
    <row r="751" ht="15.75" customHeight="1" s="59"/>
    <row r="752" ht="15.75" customHeight="1" s="59"/>
    <row r="753" ht="15.75" customHeight="1" s="59"/>
    <row r="754" ht="15.75" customHeight="1" s="59"/>
    <row r="755" ht="15.75" customHeight="1" s="59"/>
    <row r="756" ht="15.75" customHeight="1" s="59"/>
    <row r="757" ht="15.75" customHeight="1" s="59"/>
    <row r="758" ht="15.75" customHeight="1" s="59"/>
    <row r="759" ht="15.75" customHeight="1" s="59"/>
    <row r="760" ht="15.75" customHeight="1" s="59"/>
    <row r="761" ht="15.75" customHeight="1" s="59"/>
    <row r="762" ht="15.75" customHeight="1" s="59"/>
    <row r="763" ht="15.75" customHeight="1" s="59"/>
    <row r="764" ht="15.75" customHeight="1" s="59"/>
    <row r="765" ht="15.75" customHeight="1" s="59"/>
    <row r="766" ht="15.75" customHeight="1" s="59"/>
    <row r="767" ht="15.75" customHeight="1" s="59"/>
    <row r="768" ht="15.75" customHeight="1" s="59"/>
    <row r="769" ht="15.75" customHeight="1" s="59"/>
    <row r="770" ht="15.75" customHeight="1" s="59"/>
    <row r="771" ht="15.75" customHeight="1" s="59"/>
    <row r="772" ht="15.75" customHeight="1" s="59"/>
    <row r="773" ht="15.75" customHeight="1" s="59"/>
    <row r="774" ht="15.75" customHeight="1" s="59"/>
    <row r="775" ht="15.75" customHeight="1" s="59"/>
    <row r="776" ht="15.75" customHeight="1" s="59"/>
    <row r="777" ht="15.75" customHeight="1" s="59"/>
    <row r="778" ht="15.75" customHeight="1" s="59"/>
    <row r="779" ht="15.75" customHeight="1" s="59"/>
    <row r="780" ht="15.75" customHeight="1" s="59"/>
    <row r="781" ht="15.75" customHeight="1" s="59"/>
    <row r="782" ht="15.75" customHeight="1" s="59"/>
    <row r="783" ht="15.75" customHeight="1" s="59"/>
    <row r="784" ht="15.75" customHeight="1" s="59"/>
    <row r="785" ht="15.75" customHeight="1" s="59"/>
    <row r="786" ht="15.75" customHeight="1" s="59"/>
    <row r="787" ht="15.75" customHeight="1" s="59"/>
    <row r="788" ht="15.75" customHeight="1" s="59"/>
    <row r="789" ht="15.75" customHeight="1" s="59"/>
    <row r="790" ht="15.75" customHeight="1" s="59"/>
    <row r="791" ht="15.75" customHeight="1" s="59"/>
    <row r="792" ht="15.75" customHeight="1" s="59"/>
    <row r="793" ht="15.75" customHeight="1" s="59"/>
    <row r="794" ht="15.75" customHeight="1" s="59"/>
    <row r="795" ht="15.75" customHeight="1" s="59"/>
    <row r="796" ht="15.75" customHeight="1" s="59"/>
    <row r="797" ht="15.75" customHeight="1" s="59"/>
    <row r="798" ht="15.75" customHeight="1" s="59"/>
    <row r="799" ht="15.75" customHeight="1" s="59"/>
    <row r="800" ht="15.75" customHeight="1" s="59"/>
    <row r="801" ht="15.75" customHeight="1" s="59"/>
    <row r="802" ht="15.75" customHeight="1" s="59"/>
    <row r="803" ht="15.75" customHeight="1" s="59"/>
    <row r="804" ht="15.75" customHeight="1" s="59"/>
    <row r="805" ht="15.75" customHeight="1" s="59"/>
    <row r="806" ht="15.75" customHeight="1" s="59"/>
    <row r="807" ht="15.75" customHeight="1" s="59"/>
    <row r="808" ht="15.75" customHeight="1" s="59"/>
    <row r="809" ht="15.75" customHeight="1" s="59"/>
    <row r="810" ht="15.75" customHeight="1" s="59"/>
    <row r="811" ht="15.75" customHeight="1" s="59"/>
    <row r="812" ht="15.75" customHeight="1" s="59"/>
    <row r="813" ht="15.75" customHeight="1" s="59"/>
    <row r="814" ht="15.75" customHeight="1" s="59"/>
    <row r="815" ht="15.75" customHeight="1" s="59"/>
    <row r="816" ht="15.75" customHeight="1" s="59"/>
    <row r="817" ht="15.75" customHeight="1" s="59"/>
    <row r="818" ht="15.75" customHeight="1" s="59"/>
    <row r="819" ht="15.75" customHeight="1" s="59"/>
    <row r="820" ht="15.75" customHeight="1" s="59"/>
    <row r="821" ht="15.75" customHeight="1" s="59"/>
    <row r="822" ht="15.75" customHeight="1" s="59"/>
    <row r="823" ht="15.75" customHeight="1" s="59"/>
    <row r="824" ht="15.75" customHeight="1" s="59"/>
    <row r="825" ht="15.75" customHeight="1" s="59"/>
    <row r="826" ht="15.75" customHeight="1" s="59"/>
    <row r="827" ht="15.75" customHeight="1" s="59"/>
    <row r="828" ht="15.75" customHeight="1" s="59"/>
    <row r="829" ht="15.75" customHeight="1" s="59"/>
    <row r="830" ht="15.75" customHeight="1" s="59"/>
    <row r="831" ht="15.75" customHeight="1" s="59"/>
    <row r="832" ht="15.75" customHeight="1" s="59"/>
    <row r="833" ht="15.75" customHeight="1" s="59"/>
    <row r="834" ht="15.75" customHeight="1" s="59"/>
    <row r="835" ht="15.75" customHeight="1" s="59"/>
    <row r="836" ht="15.75" customHeight="1" s="59"/>
    <row r="837" ht="15.75" customHeight="1" s="59"/>
    <row r="838" ht="15.75" customHeight="1" s="59"/>
    <row r="839" ht="15.75" customHeight="1" s="59"/>
    <row r="840" ht="15.75" customHeight="1" s="59"/>
    <row r="841" ht="15.75" customHeight="1" s="59"/>
    <row r="842" ht="15.75" customHeight="1" s="59"/>
    <row r="843" ht="15.75" customHeight="1" s="59"/>
    <row r="844" ht="15.75" customHeight="1" s="59"/>
    <row r="845" ht="15.75" customHeight="1" s="59"/>
    <row r="846" ht="15.75" customHeight="1" s="59"/>
    <row r="847" ht="15.75" customHeight="1" s="59"/>
    <row r="848" ht="15.75" customHeight="1" s="59"/>
    <row r="849" ht="15.75" customHeight="1" s="59"/>
    <row r="850" ht="15.75" customHeight="1" s="59"/>
    <row r="851" ht="15.75" customHeight="1" s="59"/>
    <row r="852" ht="15.75" customHeight="1" s="59"/>
    <row r="853" ht="15.75" customHeight="1" s="59"/>
    <row r="854" ht="15.75" customHeight="1" s="59"/>
    <row r="855" ht="15.75" customHeight="1" s="59"/>
    <row r="856" ht="15.75" customHeight="1" s="59"/>
    <row r="857" ht="15.75" customHeight="1" s="59"/>
    <row r="858" ht="15.75" customHeight="1" s="59"/>
    <row r="859" ht="15.75" customHeight="1" s="59"/>
    <row r="860" ht="15.75" customHeight="1" s="59"/>
    <row r="861" ht="15.75" customHeight="1" s="59"/>
    <row r="862" ht="15.75" customHeight="1" s="59"/>
    <row r="863" ht="15.75" customHeight="1" s="59"/>
    <row r="864" ht="15.75" customHeight="1" s="59"/>
    <row r="865" ht="15.75" customHeight="1" s="59"/>
    <row r="866" ht="15.75" customHeight="1" s="59"/>
    <row r="867" ht="15.75" customHeight="1" s="59"/>
    <row r="868" ht="15.75" customHeight="1" s="59"/>
    <row r="869" ht="15.75" customHeight="1" s="59"/>
    <row r="870" ht="15.75" customHeight="1" s="59"/>
    <row r="871" ht="15.75" customHeight="1" s="59"/>
    <row r="872" ht="15.75" customHeight="1" s="59"/>
    <row r="873" ht="15.75" customHeight="1" s="59"/>
    <row r="874" ht="15.75" customHeight="1" s="59"/>
    <row r="875" ht="15.75" customHeight="1" s="59"/>
    <row r="876" ht="15.75" customHeight="1" s="59"/>
    <row r="877" ht="15.75" customHeight="1" s="59"/>
    <row r="878" ht="15.75" customHeight="1" s="59"/>
    <row r="879" ht="15.75" customHeight="1" s="59"/>
    <row r="880" ht="15.75" customHeight="1" s="59"/>
    <row r="881" ht="15.75" customHeight="1" s="59"/>
    <row r="882" ht="15.75" customHeight="1" s="59"/>
    <row r="883" ht="15.75" customHeight="1" s="59"/>
    <row r="884" ht="15.75" customHeight="1" s="59"/>
    <row r="885" ht="15.75" customHeight="1" s="59"/>
    <row r="886" ht="15.75" customHeight="1" s="59"/>
    <row r="887" ht="15.75" customHeight="1" s="59"/>
    <row r="888" ht="15.75" customHeight="1" s="59"/>
    <row r="889" ht="15.75" customHeight="1" s="59"/>
    <row r="890" ht="15.75" customHeight="1" s="59"/>
    <row r="891" ht="15.75" customHeight="1" s="59"/>
    <row r="892" ht="15.75" customHeight="1" s="59"/>
    <row r="893" ht="15.75" customHeight="1" s="59"/>
    <row r="894" ht="15.75" customHeight="1" s="59"/>
    <row r="895" ht="15.75" customHeight="1" s="59"/>
    <row r="896" ht="15.75" customHeight="1" s="59"/>
    <row r="897" ht="15.75" customHeight="1" s="59"/>
    <row r="898" ht="15.75" customHeight="1" s="59"/>
    <row r="899" ht="15.75" customHeight="1" s="59"/>
    <row r="900" ht="15.75" customHeight="1" s="59"/>
    <row r="901" ht="15.75" customHeight="1" s="59"/>
    <row r="902" ht="15.75" customHeight="1" s="59"/>
    <row r="903" ht="15.75" customHeight="1" s="59"/>
    <row r="904" ht="15.75" customHeight="1" s="59"/>
    <row r="905" ht="15.75" customHeight="1" s="59"/>
    <row r="906" ht="15.75" customHeight="1" s="59"/>
    <row r="907" ht="15.75" customHeight="1" s="59"/>
    <row r="908" ht="15.75" customHeight="1" s="59"/>
    <row r="909" ht="15.75" customHeight="1" s="59"/>
    <row r="910" ht="15.75" customHeight="1" s="59"/>
    <row r="911" ht="15.75" customHeight="1" s="59"/>
    <row r="912" ht="15.75" customHeight="1" s="59"/>
    <row r="913" ht="15.75" customHeight="1" s="59"/>
    <row r="914" ht="15.75" customHeight="1" s="59"/>
    <row r="915" ht="15.75" customHeight="1" s="59"/>
    <row r="916" ht="15.75" customHeight="1" s="59"/>
    <row r="917" ht="15.75" customHeight="1" s="59"/>
    <row r="918" ht="15.75" customHeight="1" s="59"/>
    <row r="919" ht="15.75" customHeight="1" s="59"/>
    <row r="920" ht="15.75" customHeight="1" s="59"/>
    <row r="921" ht="15.75" customHeight="1" s="59"/>
    <row r="922" ht="15.75" customHeight="1" s="59"/>
    <row r="923" ht="15.75" customHeight="1" s="59"/>
    <row r="924" ht="15.75" customHeight="1" s="59"/>
    <row r="925" ht="15.75" customHeight="1" s="59"/>
    <row r="926" ht="15.75" customHeight="1" s="59"/>
    <row r="927" ht="15.75" customHeight="1" s="59"/>
    <row r="928" ht="15.75" customHeight="1" s="59"/>
    <row r="929" ht="15.75" customHeight="1" s="59"/>
    <row r="930" ht="15.75" customHeight="1" s="59"/>
    <row r="931" ht="15.75" customHeight="1" s="59"/>
    <row r="932" ht="15.75" customHeight="1" s="59"/>
    <row r="933" ht="15.75" customHeight="1" s="59"/>
    <row r="934" ht="15.75" customHeight="1" s="59"/>
    <row r="935" ht="15.75" customHeight="1" s="59"/>
    <row r="936" ht="15.75" customHeight="1" s="59"/>
    <row r="937" ht="15.75" customHeight="1" s="59"/>
    <row r="938" ht="15.75" customHeight="1" s="59"/>
    <row r="939" ht="15.75" customHeight="1" s="59"/>
    <row r="940" ht="15.75" customHeight="1" s="59"/>
    <row r="941" ht="15.75" customHeight="1" s="59"/>
    <row r="942" ht="15.75" customHeight="1" s="59"/>
    <row r="943" ht="15.75" customHeight="1" s="59"/>
    <row r="944" ht="15.75" customHeight="1" s="59"/>
    <row r="945" ht="15.75" customHeight="1" s="59"/>
    <row r="946" ht="15.75" customHeight="1" s="59"/>
    <row r="947" ht="15.75" customHeight="1" s="59"/>
    <row r="948" ht="15.75" customHeight="1" s="59"/>
    <row r="949" ht="15.75" customHeight="1" s="59"/>
    <row r="950" ht="15.75" customHeight="1" s="59"/>
    <row r="951" ht="15.75" customHeight="1" s="59"/>
    <row r="952" ht="15.75" customHeight="1" s="59"/>
    <row r="953" ht="15.75" customHeight="1" s="59"/>
    <row r="954" ht="15.75" customHeight="1" s="59"/>
    <row r="955" ht="15.75" customHeight="1" s="59"/>
    <row r="956" ht="15.75" customHeight="1" s="59"/>
    <row r="957" ht="15.75" customHeight="1" s="59"/>
    <row r="958" ht="15.75" customHeight="1" s="59"/>
    <row r="959" ht="15.75" customHeight="1" s="59"/>
    <row r="960" ht="15.75" customHeight="1" s="59"/>
    <row r="961" ht="15.75" customHeight="1" s="59"/>
    <row r="962" ht="15.75" customHeight="1" s="59"/>
    <row r="963" ht="15.75" customHeight="1" s="59"/>
    <row r="964" ht="15.75" customHeight="1" s="59"/>
    <row r="965" ht="15.75" customHeight="1" s="59"/>
    <row r="966" ht="15.75" customHeight="1" s="59"/>
    <row r="967" ht="15.75" customHeight="1" s="59"/>
    <row r="968" ht="15.75" customHeight="1" s="59"/>
    <row r="969" ht="15.75" customHeight="1" s="59"/>
    <row r="970" ht="15.75" customHeight="1" s="59"/>
    <row r="971" ht="15.75" customHeight="1" s="59"/>
    <row r="972" ht="15.75" customHeight="1" s="59"/>
    <row r="973" ht="15.75" customHeight="1" s="59"/>
    <row r="974" ht="15.75" customHeight="1" s="59"/>
    <row r="975" ht="15.75" customHeight="1" s="59"/>
    <row r="976" ht="15.75" customHeight="1" s="59"/>
    <row r="977" ht="15.75" customHeight="1" s="59"/>
    <row r="978" ht="15.75" customHeight="1" s="59"/>
    <row r="979" ht="15.75" customHeight="1" s="59"/>
    <row r="980" ht="15.75" customHeight="1" s="59"/>
    <row r="981" ht="15.75" customHeight="1" s="59"/>
    <row r="982" ht="15.75" customHeight="1" s="59"/>
    <row r="983" ht="15.75" customHeight="1" s="59"/>
    <row r="984" ht="15.75" customHeight="1" s="59"/>
    <row r="985" ht="15.75" customHeight="1" s="59"/>
    <row r="986" ht="15.75" customHeight="1" s="59"/>
    <row r="987" ht="15.75" customHeight="1" s="59"/>
    <row r="988" ht="15.75" customHeight="1" s="59"/>
    <row r="989" ht="15.75" customHeight="1" s="59"/>
    <row r="990" ht="15.75" customHeight="1" s="59"/>
    <row r="991" ht="15.75" customHeight="1" s="59"/>
    <row r="992" ht="15.75" customHeight="1" s="59"/>
    <row r="993" ht="15.75" customHeight="1" s="59"/>
    <row r="994" ht="15.75" customHeight="1" s="59"/>
    <row r="995" ht="15.75" customHeight="1" s="59"/>
    <row r="996" ht="15.75" customHeight="1" s="59"/>
    <row r="997" ht="15.75" customHeight="1" s="59"/>
    <row r="998" ht="15.75" customHeight="1" s="59"/>
    <row r="999" ht="15.75" customHeight="1" s="59"/>
    <row r="1000" ht="15.75" customHeight="1" s="59"/>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T102"/>
  <sheetViews>
    <sheetView workbookViewId="0">
      <selection activeCell="A1" sqref="A1"/>
    </sheetView>
  </sheetViews>
  <sheetFormatPr baseColWidth="8" defaultColWidth="14.42578125" defaultRowHeight="15" customHeight="1"/>
  <cols>
    <col width="5" customWidth="1" style="59" min="1" max="1"/>
    <col width="13" customWidth="1" style="59" min="2" max="2"/>
    <col width="18" customWidth="1" style="59" min="3" max="3"/>
    <col width="38" customWidth="1" style="59" min="4" max="4"/>
    <col width="9" customWidth="1" style="59" min="5" max="6"/>
    <col width="7" customWidth="1" style="59" min="7" max="7"/>
    <col width="9" customWidth="1" style="59" min="8" max="9"/>
    <col width="10" customWidth="1" style="59" min="10" max="10"/>
    <col width="26" customWidth="1" style="59" min="11" max="11"/>
    <col width="11" customWidth="1" style="59" min="12" max="14"/>
    <col width="10" customWidth="1" style="59" min="15" max="15"/>
    <col width="9" customWidth="1" style="59" min="16" max="16"/>
    <col width="14" customWidth="1" style="59" min="17" max="19"/>
    <col width="8.7109375" customWidth="1" style="59" min="20" max="26"/>
  </cols>
  <sheetData>
    <row r="1" ht="18" customHeight="1" s="59">
      <c r="A1" s="66" t="inlineStr">
        <is>
          <t>ITEM CODE</t>
        </is>
      </c>
      <c r="C1" s="7" t="inlineStr">
        <is>
          <t>LV453-B61</t>
        </is>
      </c>
      <c r="D1" s="66" t="inlineStr">
        <is>
          <t>OVERALL L mm</t>
        </is>
      </c>
      <c r="G1" s="9">
        <f t="array" ref="G1">IFERROR(IF(INDEX(ITEMS!$E$5:$E$120,MATCH($C$1,ITEMS!$C$5:$C$120,0))="","",INDEX(ITEMS!$E$5:$E$120,MATCH($C$1,ITEMS!$C$5:$C$120,0))),"")</f>
        <v/>
      </c>
      <c r="H1" s="67" t="n"/>
      <c r="I1" s="67" t="n"/>
      <c r="J1" s="67" t="n"/>
      <c r="K1" s="68" t="n"/>
      <c r="L1" s="69">
        <f>IF(G6="","photo",_xludf.IMAGE(G6))</f>
        <v/>
      </c>
    </row>
    <row r="2" ht="18" customHeight="1" s="59">
      <c r="A2" s="66" t="inlineStr">
        <is>
          <t>ITEM NAME</t>
        </is>
      </c>
      <c r="C2" s="9">
        <f t="array" ref="C2">IFERROR(IF(INDEX(ITEMS!$D$5:$D$120,MATCH($C$1,ITEMS!$C$5:$C$120,0))="","",INDEX(ITEMS!$D$5:$D$120,MATCH($C$1,ITEMS!$C$5:$C$120,0))),"")</f>
        <v/>
      </c>
      <c r="D2" s="66" t="inlineStr">
        <is>
          <t>OVERALL W mm</t>
        </is>
      </c>
      <c r="G2" s="9">
        <f t="array" ref="G2">IFERROR(IF(INDEX(ITEMS!$F$5:$F$120,MATCH($C$1,ITEMS!$C$5:$C$120,0))="","",INDEX(ITEMS!$F$5:$F$120,MATCH($C$1,ITEMS!$C$5:$C$120,0))),"")</f>
        <v/>
      </c>
      <c r="H2" s="67" t="n"/>
      <c r="I2" s="67" t="n"/>
      <c r="J2" s="67" t="n"/>
      <c r="K2" s="68" t="n"/>
    </row>
    <row r="3" ht="18" customHeight="1" s="59">
      <c r="A3" s="66" t="inlineStr">
        <is>
          <t>COLLECTION / ROOM</t>
        </is>
      </c>
      <c r="C3" s="9">
        <f t="array" ref="C3">IFERROR(INDEX(ITEMS!$B$5:$B$120,MATCH($C$1,ITEMS!$C$5:$C$120,0))&amp;" / "&amp;INDEX(ITEMS!$W$5:$W$120,MATCH($C$1,ITEMS!$C$5:$C$120,0)),"")</f>
        <v/>
      </c>
      <c r="D3" s="66" t="inlineStr">
        <is>
          <t>OVERALL H mm</t>
        </is>
      </c>
      <c r="G3" s="9">
        <f t="array" ref="G3">IFERROR(IF(INDEX(ITEMS!$G$5:$G$120,MATCH($C$1,ITEMS!$C$5:$C$120,0))="","",INDEX(ITEMS!$G$5:$G$120,MATCH($C$1,ITEMS!$C$5:$C$120,0))),"")</f>
        <v/>
      </c>
      <c r="H3" s="67" t="n"/>
      <c r="I3" s="67" t="n"/>
      <c r="J3" s="67" t="n"/>
      <c r="K3" s="68" t="n"/>
    </row>
    <row r="4" ht="18" customHeight="1" s="59">
      <c r="A4" s="66" t="inlineStr">
        <is>
          <t>ORDER QTY</t>
        </is>
      </c>
      <c r="C4" s="9">
        <f t="array" ref="C4">IFERROR(IF(INDEX(ITEMS!$H$5:$H$120,MATCH($C$1,ITEMS!$C$5:$C$120,0))="","",INDEX(ITEMS!$H$5:$H$120,MATCH($C$1,ITEMS!$C$5:$C$120,0))),"")</f>
        <v/>
      </c>
      <c r="D4" s="66" t="inlineStr">
        <is>
          <t>LV453 - B61 - DRESSER 6 DRAWERS.pdf</t>
        </is>
      </c>
      <c r="G4" s="9">
        <f t="array" ref="G4">IFERROR(IF(INDEX(ITEMS!$I$5:$I$120,MATCH($C$1,ITEMS!$C$5:$C$120,0))="","",INDEX(ITEMS!$I$5:$I$120,MATCH($C$1,ITEMS!$C$5:$C$120,0))),"")</f>
        <v/>
      </c>
      <c r="H4" s="67" t="n"/>
      <c r="I4" s="67" t="n"/>
      <c r="J4" s="67" t="n"/>
      <c r="K4" s="68" t="n"/>
    </row>
    <row r="5" ht="18" customHeight="1" s="59">
      <c r="A5" s="66" t="inlineStr">
        <is>
          <t>FINISH RECIPE</t>
        </is>
      </c>
      <c r="C5" s="10" t="inlineStr">
        <is>
          <t>NC NATURAL</t>
        </is>
      </c>
      <c r="D5" s="66" t="inlineStr">
        <is>
          <t>SPEC LINK</t>
        </is>
      </c>
      <c r="G5" s="9">
        <f t="array" ref="G5">IFERROR(IF(INDEX(ITEMS!$V$5:$V$120,MATCH($C$1,ITEMS!$C$5:$C$120,0))="","",INDEX(ITEMS!$V$5:$V$120,MATCH($C$1,ITEMS!$C$5:$C$120,0))),"")</f>
        <v/>
      </c>
      <c r="H5" s="67" t="n"/>
      <c r="I5" s="67" t="n"/>
      <c r="J5" s="67" t="n"/>
      <c r="K5" s="68" t="n"/>
    </row>
    <row r="6" ht="18" customHeight="1" s="59">
      <c r="A6" s="66" t="inlineStr">
        <is>
          <t>FLATPACK? (Y/N)</t>
        </is>
      </c>
      <c r="C6" s="10" t="inlineStr">
        <is>
          <t>N</t>
        </is>
      </c>
      <c r="D6" s="66" t="inlineStr">
        <is>
          <t>PHOTO LINK</t>
        </is>
      </c>
      <c r="G6" s="10" t="n"/>
      <c r="H6" s="67" t="n"/>
      <c r="I6" s="67" t="n"/>
      <c r="J6" s="67" t="n"/>
      <c r="K6" s="68" t="n"/>
    </row>
    <row r="7" ht="18" customHeight="1" s="59">
      <c r="A7" s="66" t="inlineStr">
        <is>
          <t>NOTES</t>
        </is>
      </c>
      <c r="C7" s="9">
        <f t="array" ref="C7">IFERROR(IF(INDEX(ITEMS!$X$5:$X$120,MATCH($C$1,ITEMS!$C$5:$C$120,0))="","",INDEX(ITEMS!$X$5:$X$120,MATCH($C$1,ITEMS!$C$5:$C$120,0))),"")</f>
        <v/>
      </c>
      <c r="D7" s="66" t="inlineStr">
        <is>
          <t>REVISION / DATE</t>
        </is>
      </c>
      <c r="G7" s="10" t="n"/>
      <c r="H7" s="67" t="n"/>
      <c r="I7" s="67" t="n"/>
      <c r="J7" s="67" t="n"/>
      <c r="K7" s="68" t="n"/>
    </row>
    <row r="8" ht="6" customHeight="1" s="59"/>
    <row r="9">
      <c r="A9" s="5" t="inlineStr">
        <is>
          <t>PACKING: assembled = leave boxes blank (system uses overall size + 40 mm as 1 carton). Flatpack = one row per box.</t>
        </is>
      </c>
    </row>
    <row r="10" ht="30" customHeight="1" s="59">
      <c r="A10" s="8" t="inlineStr">
        <is>
          <t>BOX</t>
        </is>
      </c>
      <c r="B10" s="8" t="inlineStr">
        <is>
          <t>CONTENTS</t>
        </is>
      </c>
      <c r="C10" s="68" t="n"/>
      <c r="D10" s="8" t="inlineStr">
        <is>
          <t>L mm</t>
        </is>
      </c>
      <c r="E10" s="8" t="inlineStr">
        <is>
          <t>W mm</t>
        </is>
      </c>
      <c r="F10" s="8" t="inlineStr">
        <is>
          <t>H mm</t>
        </is>
      </c>
      <c r="G10" s="8" t="inlineStr">
        <is>
          <t>QTY</t>
        </is>
      </c>
      <c r="H10" s="8" t="inlineStr">
        <is>
          <t>CARTON L</t>
        </is>
      </c>
      <c r="I10" s="8" t="inlineStr">
        <is>
          <t>CARTON W</t>
        </is>
      </c>
      <c r="J10" s="8" t="inlineStr">
        <is>
          <t>CARTON H</t>
        </is>
      </c>
      <c r="K10" s="8" t="n"/>
      <c r="L10" s="8" t="inlineStr">
        <is>
          <t>m² 6 sides (calc)</t>
        </is>
      </c>
      <c r="M10" s="8" t="inlineStr">
        <is>
          <t>m³ (calc)</t>
        </is>
      </c>
    </row>
    <row r="11">
      <c r="A11" s="13" t="n">
        <v>1</v>
      </c>
      <c r="B11" s="10" t="n"/>
      <c r="C11" s="68" t="n"/>
      <c r="D11" s="10" t="n"/>
      <c r="E11" s="10" t="n"/>
      <c r="F11" s="10" t="n"/>
      <c r="G11" s="10" t="n"/>
      <c r="H11" s="14">
        <f>IF(D11="","",D11+LISTS!$F$9)</f>
        <v/>
      </c>
      <c r="I11" s="14">
        <f>IF(E11="","",E11+LISTS!$F$9)</f>
        <v/>
      </c>
      <c r="J11" s="14">
        <f>IF(F11="","",F11+LISTS!$F$9)</f>
        <v/>
      </c>
      <c r="K11" s="15" t="n"/>
      <c r="L11" s="17">
        <f>IF(H11="","",2*(H11*I11+H11*J11+I11*J11)/1000000*IF(G11="",1,G11))</f>
        <v/>
      </c>
      <c r="M11" s="19">
        <f>IF(H11="","",H11*I11*J11/1000000000*IF(G11="",1,G11))</f>
        <v/>
      </c>
    </row>
    <row r="12">
      <c r="A12" s="13" t="n">
        <v>2</v>
      </c>
      <c r="B12" s="10" t="n"/>
      <c r="C12" s="68" t="n"/>
      <c r="D12" s="10" t="n"/>
      <c r="E12" s="10" t="n"/>
      <c r="F12" s="10" t="n"/>
      <c r="G12" s="10" t="n"/>
      <c r="H12" s="14">
        <f>IF(D12="","",D12+LISTS!$F$9)</f>
        <v/>
      </c>
      <c r="I12" s="14">
        <f>IF(E12="","",E12+LISTS!$F$9)</f>
        <v/>
      </c>
      <c r="J12" s="14">
        <f>IF(F12="","",F12+LISTS!$F$9)</f>
        <v/>
      </c>
      <c r="K12" s="15" t="n"/>
      <c r="L12" s="17">
        <f>IF(H12="","",2*(H12*I12+H12*J12+I12*J12)/1000000*IF(G12="",1,G12))</f>
        <v/>
      </c>
      <c r="M12" s="19">
        <f>IF(H12="","",H12*I12*J12/1000000000*IF(G12="",1,G12))</f>
        <v/>
      </c>
    </row>
    <row r="13">
      <c r="A13" s="13" t="n">
        <v>3</v>
      </c>
      <c r="B13" s="10" t="n"/>
      <c r="C13" s="68" t="n"/>
      <c r="D13" s="10" t="n"/>
      <c r="E13" s="10" t="n"/>
      <c r="F13" s="10" t="n"/>
      <c r="G13" s="10" t="n"/>
      <c r="H13" s="14">
        <f>IF(D13="","",D13+LISTS!$F$9)</f>
        <v/>
      </c>
      <c r="I13" s="14">
        <f>IF(E13="","",E13+LISTS!$F$9)</f>
        <v/>
      </c>
      <c r="J13" s="14">
        <f>IF(F13="","",F13+LISTS!$F$9)</f>
        <v/>
      </c>
      <c r="K13" s="15" t="n"/>
      <c r="L13" s="17">
        <f>IF(H13="","",2*(H13*I13+H13*J13+I13*J13)/1000000*IF(G13="",1,G13))</f>
        <v/>
      </c>
      <c r="M13" s="19">
        <f>IF(H13="","",H13*I13*J13/1000000000*IF(G13="",1,G13))</f>
        <v/>
      </c>
    </row>
    <row r="14">
      <c r="A14" s="13" t="n">
        <v>4</v>
      </c>
      <c r="B14" s="10" t="n"/>
      <c r="C14" s="68" t="n"/>
      <c r="D14" s="10" t="n"/>
      <c r="E14" s="10" t="n"/>
      <c r="F14" s="10" t="n"/>
      <c r="G14" s="10" t="n"/>
      <c r="H14" s="14">
        <f>IF(D14="","",D14+LISTS!$F$9)</f>
        <v/>
      </c>
      <c r="I14" s="14">
        <f>IF(E14="","",E14+LISTS!$F$9)</f>
        <v/>
      </c>
      <c r="J14" s="14">
        <f>IF(F14="","",F14+LISTS!$F$9)</f>
        <v/>
      </c>
      <c r="K14" s="15" t="n"/>
      <c r="L14" s="17">
        <f>IF(H14="","",2*(H14*I14+H14*J14+I14*J14)/1000000*IF(G14="",1,G14))</f>
        <v/>
      </c>
      <c r="M14" s="19">
        <f>IF(H14="","",H14*I14*J14/1000000000*IF(G14="",1,G14))</f>
        <v/>
      </c>
    </row>
    <row r="15">
      <c r="A15" s="13" t="inlineStr">
        <is>
          <t>TOTAL</t>
        </is>
      </c>
      <c r="B15" s="15" t="n"/>
      <c r="C15" s="15" t="n"/>
      <c r="D15" s="15" t="n"/>
      <c r="E15" s="15" t="n"/>
      <c r="F15" s="15" t="n"/>
      <c r="G15" s="22">
        <f>IF(D11="",1,SUM(G11:G14)+COUNTIFS(D11:D14,"&lt;&gt;",G11:G14,""))</f>
        <v/>
      </c>
      <c r="H15" s="9" t="inlineStr">
        <is>
          <t>cartons</t>
        </is>
      </c>
      <c r="I15" s="15" t="n"/>
      <c r="J15" s="15" t="n"/>
      <c r="K15" s="15" t="n"/>
      <c r="L15" s="23">
        <f>IF(D11="",IF(OR(G1="",G2="",G3=""),0,2*((G1+LISTS!$F$9)*(G2+LISTS!$F$9)+(G1+LISTS!$F$9)*(G3+LISTS!$F$9)+(G2+LISTS!$F$9)*(G3+LISTS!$F$9))/1000000),SUM(L11:L14))</f>
        <v/>
      </c>
      <c r="M15" s="24">
        <f>IF(D11="",IF(OR(G1="",G2="",G3=""),0,(G1+LISTS!$F$9)*(G2+LISTS!$F$9)*(G3+LISTS!$F$9)/1000000000),SUM(M11:M14))</f>
        <v/>
      </c>
    </row>
    <row r="16">
      <c r="A16" s="5" t="inlineStr">
        <is>
          <t>SOLID WOOD: one line per component, mm, qty per ONE item</t>
        </is>
      </c>
    </row>
    <row r="17" ht="31.5" customHeight="1" s="59">
      <c r="A17" s="8" t="inlineStr">
        <is>
          <t>NO</t>
        </is>
      </c>
      <c r="B17" s="8" t="inlineStr">
        <is>
          <t>MATERIAL</t>
        </is>
      </c>
      <c r="C17" s="47" t="inlineStr">
        <is>
          <t>LABEL</t>
        </is>
      </c>
      <c r="D17" s="8" t="inlineStr">
        <is>
          <t>COMPONENT</t>
        </is>
      </c>
      <c r="E17" s="8" t="inlineStr">
        <is>
          <t>L mm</t>
        </is>
      </c>
      <c r="F17" s="8" t="inlineStr">
        <is>
          <t>W mm</t>
        </is>
      </c>
      <c r="G17" s="8" t="inlineStr">
        <is>
          <t>T mm</t>
        </is>
      </c>
      <c r="H17" s="8" t="inlineStr">
        <is>
          <t>QTY</t>
        </is>
      </c>
      <c r="I17" s="8" t="inlineStr">
        <is>
          <t>EXPOSED Y/N</t>
        </is>
      </c>
      <c r="J17" s="8" t="inlineStr">
        <is>
          <t>CURVED Y/N</t>
        </is>
      </c>
      <c r="K17" s="8" t="inlineStr">
        <is>
          <t>TIER OVERRIDE</t>
        </is>
      </c>
      <c r="L17" s="8" t="inlineStr">
        <is>
          <t>NOTE</t>
        </is>
      </c>
      <c r="M17" s="8" t="inlineStr">
        <is>
          <t>VOL m³ (calc)</t>
        </is>
      </c>
      <c r="N17" s="8" t="inlineStr">
        <is>
          <t>FACE m² (calc)</t>
        </is>
      </c>
      <c r="O17" s="8" t="inlineStr">
        <is>
          <t>AUTO TIER (calc)</t>
        </is>
      </c>
      <c r="P17" s="8" t="n"/>
      <c r="Q17" s="8" t="n"/>
      <c r="R17" s="8" t="inlineStr">
        <is>
          <t>CHECK (calc)</t>
        </is>
      </c>
      <c r="S17" s="8" t="inlineStr">
        <is>
          <t>RATE (system)</t>
        </is>
      </c>
      <c r="T17" s="8" t="inlineStr">
        <is>
          <t>COST IDR (system)</t>
        </is>
      </c>
    </row>
    <row r="18">
      <c r="A18" s="9" t="n">
        <v>1</v>
      </c>
      <c r="B18" s="10" t="inlineStr">
        <is>
          <t>MINDI</t>
        </is>
      </c>
      <c r="C18" s="48" t="inlineStr">
        <is>
          <t>3 / A</t>
        </is>
      </c>
      <c r="D18" s="10" t="inlineStr">
        <is>
          <t>Tiang Kaki Luar (Corner Posts)</t>
        </is>
      </c>
      <c r="E18" s="10" t="n">
        <v>820</v>
      </c>
      <c r="F18" s="10" t="n">
        <v>45</v>
      </c>
      <c r="G18" s="10" t="n">
        <v>45</v>
      </c>
      <c r="H18" s="10" t="n">
        <v>4</v>
      </c>
      <c r="I18" s="10" t="inlineStr">
        <is>
          <t>Y</t>
        </is>
      </c>
      <c r="J18" s="10" t="inlineStr">
        <is>
          <t>N</t>
        </is>
      </c>
      <c r="K18" s="10" t="n"/>
      <c r="L18" s="10" t="inlineStr">
        <is>
          <t>Part 3 / Code A (Solid wood 45x45) | P-01</t>
        </is>
      </c>
      <c r="M18" s="25">
        <f>IF(OR(E18="",F18="",G18=""),"",E18*F18*G18/1000000000*IF(H18="",1,H18))</f>
        <v/>
      </c>
      <c r="N18" s="19">
        <f>IF(OR(E18="",F18=""),"",E18*F18/1000000*IF(H18="",1,H18))</f>
        <v/>
      </c>
      <c r="O18" s="14">
        <f>IF(E18="","",IF(K18&lt;&gt;"",K18,IF(AND(E18*F18*G18/1000000000&lt;LISTS!$F$4,MAX(E18,F18,G18)&lt;LISTS!$F$5),"D",IF(I18="N","C",IF(J18="Y","A-CURVED",IF(AND(MEDIAN(E18,F18,G18)&lt;=LISTS!$F$10,MAX(E18,F18,G18)&lt;=LISTS!$F$11),"B",IF(MAX(E18,F18,G18)&gt;=LISTS!$F$3,"A","B")))))))</f>
        <v/>
      </c>
      <c r="P18" s="14" t="n"/>
      <c r="Q18" s="14" t="n"/>
      <c r="R18" s="14">
        <f>IF(E18="","",IF(B18="","material?",IF(OR(F18="",G18=""),"size?",IF(I18="","exposed Y/N?",IF(H18="","qty?",IF(B18="OTHER","OTHER: no rate, price it under hardware","OK"))))))</f>
        <v/>
      </c>
      <c r="S18" s="12">
        <f t="array" ref="S18">IF(OR(O18="",M18=""),"",IF(B18="MERANTI",RATES!$C$45,IFERROR(INDEX(RATES!$C:$C,MATCH(B18&amp;"_"&amp;SUBSTITUTE(O18,"-CURVED","C"),RATES!$A:$A,0)),"rate?")))</f>
        <v/>
      </c>
      <c r="T18" s="12">
        <f>IF(ISNUMBER(S18),M18*S18,"")</f>
        <v/>
      </c>
    </row>
    <row r="19">
      <c r="A19" s="9" t="n">
        <v>2</v>
      </c>
      <c r="B19" s="10" t="inlineStr">
        <is>
          <t>MINDI</t>
        </is>
      </c>
      <c r="C19" s="48" t="inlineStr">
        <is>
          <t>3 / A</t>
        </is>
      </c>
      <c r="D19" s="10" t="inlineStr">
        <is>
          <t>Tiang Kaki Tengah (Center Posts)</t>
        </is>
      </c>
      <c r="E19" s="10" t="n">
        <v>820</v>
      </c>
      <c r="F19" s="10" t="n">
        <v>45</v>
      </c>
      <c r="G19" s="10" t="n">
        <v>45</v>
      </c>
      <c r="H19" s="10" t="n">
        <v>2</v>
      </c>
      <c r="I19" s="10" t="inlineStr">
        <is>
          <t>Y</t>
        </is>
      </c>
      <c r="J19" s="10" t="inlineStr">
        <is>
          <t>N</t>
        </is>
      </c>
      <c r="K19" s="10" t="n"/>
      <c r="L19" s="10" t="inlineStr">
        <is>
          <t>Part 3 / Code A (Solid wood 45x45) | P-02</t>
        </is>
      </c>
      <c r="M19" s="25">
        <f>IF(OR(E19="",F19="",G19=""),"",E19*F19*G19/1000000000*IF(H19="",1,H19))</f>
        <v/>
      </c>
      <c r="N19" s="19">
        <f>IF(OR(E19="",F19=""),"",E19*F19/1000000*IF(H19="",1,H19))</f>
        <v/>
      </c>
      <c r="O19" s="14">
        <f>IF(E19="","",IF(K19&lt;&gt;"",K19,IF(AND(E19*F19*G19/1000000000&lt;LISTS!$F$4,MAX(E19,F19,G19)&lt;LISTS!$F$5),"D",IF(I19="N","C",IF(J19="Y","A-CURVED",IF(AND(MEDIAN(E19,F19,G19)&lt;=LISTS!$F$10,MAX(E19,F19,G19)&lt;=LISTS!$F$11),"B",IF(MAX(E19,F19,G19)&gt;=LISTS!$F$3,"A","B")))))))</f>
        <v/>
      </c>
      <c r="P19" s="14" t="n"/>
      <c r="Q19" s="14" t="n"/>
      <c r="R19" s="14">
        <f>IF(E19="","",IF(B19="","material?",IF(OR(F19="",G19=""),"size?",IF(I19="","exposed Y/N?",IF(H19="","qty?",IF(B19="OTHER","OTHER: no rate, price it under hardware","OK"))))))</f>
        <v/>
      </c>
      <c r="S19" s="12">
        <f t="array" ref="S19">IF(OR(O19="",M19=""),"",IF(B19="MERANTI",RATES!$C$45,IFERROR(INDEX(RATES!$C:$C,MATCH(B19&amp;"_"&amp;SUBSTITUTE(O19,"-CURVED","C"),RATES!$A:$A,0)),"rate?")))</f>
        <v/>
      </c>
      <c r="T19" s="12">
        <f>IF(ISNUMBER(S19),M19*S19,"")</f>
        <v/>
      </c>
    </row>
    <row r="20">
      <c r="A20" s="9" t="n">
        <v>3</v>
      </c>
      <c r="B20" s="10" t="inlineStr">
        <is>
          <t>MINDI</t>
        </is>
      </c>
      <c r="C20" s="48" t="inlineStr">
        <is>
          <t>14 / A</t>
        </is>
      </c>
      <c r="D20" s="10" t="inlineStr">
        <is>
          <t>Rel Depan Atas (Top Front Rail)</t>
        </is>
      </c>
      <c r="E20" s="10" t="n">
        <v>1410</v>
      </c>
      <c r="F20" s="10" t="n">
        <v>45</v>
      </c>
      <c r="G20" s="10" t="n">
        <v>30</v>
      </c>
      <c r="H20" s="10" t="n">
        <v>1</v>
      </c>
      <c r="I20" s="10" t="inlineStr">
        <is>
          <t>Y</t>
        </is>
      </c>
      <c r="J20" s="10" t="inlineStr">
        <is>
          <t>N</t>
        </is>
      </c>
      <c r="K20" s="10" t="n"/>
      <c r="L20" s="10" t="inlineStr">
        <is>
          <t>Part 14 / Code A (Solid wood 45x30) | P-03</t>
        </is>
      </c>
      <c r="M20" s="25">
        <f>IF(OR(E20="",F20="",G20=""),"",E20*F20*G20/1000000000*IF(H20="",1,H20))</f>
        <v/>
      </c>
      <c r="N20" s="19">
        <f>IF(OR(E20="",F20=""),"",E20*F20/1000000*IF(H20="",1,H20))</f>
        <v/>
      </c>
      <c r="O20" s="14">
        <f>IF(E20="","",IF(K20&lt;&gt;"",K20,IF(AND(E20*F20*G20/1000000000&lt;LISTS!$F$4,MAX(E20,F20,G20)&lt;LISTS!$F$5),"D",IF(I20="N","C",IF(J20="Y","A-CURVED",IF(AND(MEDIAN(E20,F20,G20)&lt;=LISTS!$F$10,MAX(E20,F20,G20)&lt;=LISTS!$F$11),"B",IF(MAX(E20,F20,G20)&gt;=LISTS!$F$3,"A","B")))))))</f>
        <v/>
      </c>
      <c r="P20" s="14" t="n"/>
      <c r="Q20" s="14" t="n"/>
      <c r="R20" s="14">
        <f>IF(E20="","",IF(B20="","material?",IF(OR(F20="",G20=""),"size?",IF(I20="","exposed Y/N?",IF(H20="","qty?",IF(B20="OTHER","OTHER: no rate, price it under hardware","OK"))))))</f>
        <v/>
      </c>
      <c r="S20" s="12">
        <f t="array" ref="S20">IF(OR(O20="",M20=""),"",IF(B20="MERANTI",RATES!$C$45,IFERROR(INDEX(RATES!$C:$C,MATCH(B20&amp;"_"&amp;SUBSTITUTE(O20,"-CURVED","C"),RATES!$A:$A,0)),"rate?")))</f>
        <v/>
      </c>
      <c r="T20" s="12">
        <f>IF(ISNUMBER(S20),M20*S20,"")</f>
        <v/>
      </c>
    </row>
    <row r="21" ht="15.75" customHeight="1" s="59">
      <c r="A21" s="9" t="n">
        <v>4</v>
      </c>
      <c r="B21" s="10" t="inlineStr">
        <is>
          <t>MINDI</t>
        </is>
      </c>
      <c r="C21" s="48" t="inlineStr">
        <is>
          <t>18 / A</t>
        </is>
      </c>
      <c r="D21" s="10" t="inlineStr">
        <is>
          <t>Rel Sekat Laci Horizontal</t>
        </is>
      </c>
      <c r="E21" s="10" t="n">
        <v>680</v>
      </c>
      <c r="F21" s="10" t="n">
        <v>30</v>
      </c>
      <c r="G21" s="10" t="n">
        <v>30</v>
      </c>
      <c r="H21" s="10" t="n">
        <v>4</v>
      </c>
      <c r="I21" s="10" t="inlineStr">
        <is>
          <t>Y</t>
        </is>
      </c>
      <c r="J21" s="10" t="inlineStr">
        <is>
          <t>N</t>
        </is>
      </c>
      <c r="K21" s="10" t="n"/>
      <c r="L21" s="10" t="inlineStr">
        <is>
          <t>Part 18 / Code A (Solid wood 30x30) | P-04</t>
        </is>
      </c>
      <c r="M21" s="25">
        <f>IF(OR(E21="",F21="",G21=""),"",E21*F21*G21/1000000000*IF(H21="",1,H21))</f>
        <v/>
      </c>
      <c r="N21" s="19">
        <f>IF(OR(E21="",F21=""),"",E21*F21/1000000*IF(H21="",1,H21))</f>
        <v/>
      </c>
      <c r="O21" s="14">
        <f>IF(E21="","",IF(K21&lt;&gt;"",K21,IF(AND(E21*F21*G21/1000000000&lt;LISTS!$F$4,MAX(E21,F21,G21)&lt;LISTS!$F$5),"D",IF(I21="N","C",IF(J21="Y","A-CURVED",IF(AND(MEDIAN(E21,F21,G21)&lt;=LISTS!$F$10,MAX(E21,F21,G21)&lt;=LISTS!$F$11),"B",IF(MAX(E21,F21,G21)&gt;=LISTS!$F$3,"A","B")))))))</f>
        <v/>
      </c>
      <c r="P21" s="14" t="n"/>
      <c r="Q21" s="14" t="n"/>
      <c r="R21" s="14">
        <f>IF(E21="","",IF(B21="","material?",IF(OR(F21="",G21=""),"size?",IF(I21="","exposed Y/N?",IF(H21="","qty?",IF(B21="OTHER","OTHER: no rate, price it under hardware","OK"))))))</f>
        <v/>
      </c>
      <c r="S21" s="12">
        <f t="array" ref="S21">IF(OR(O21="",M21=""),"",IF(B21="MERANTI",RATES!$C$45,IFERROR(INDEX(RATES!$C:$C,MATCH(B21&amp;"_"&amp;SUBSTITUTE(O21,"-CURVED","C"),RATES!$A:$A,0)),"rate?")))</f>
        <v/>
      </c>
      <c r="T21" s="12">
        <f>IF(ISNUMBER(S21),M21*S21,"")</f>
        <v/>
      </c>
    </row>
    <row r="22" ht="15.75" customHeight="1" s="59">
      <c r="A22" s="9" t="n">
        <v>5</v>
      </c>
      <c r="B22" s="10" t="inlineStr">
        <is>
          <t>MINDI</t>
        </is>
      </c>
      <c r="C22" s="48" t="inlineStr">
        <is>
          <t>17 / A</t>
        </is>
      </c>
      <c r="D22" s="10" t="inlineStr">
        <is>
          <t>Rel Tengah Vertikal Pembagi</t>
        </is>
      </c>
      <c r="E22" s="10" t="n">
        <v>585</v>
      </c>
      <c r="F22" s="10" t="n">
        <v>45</v>
      </c>
      <c r="G22" s="10" t="n">
        <v>30</v>
      </c>
      <c r="H22" s="10" t="n">
        <v>1</v>
      </c>
      <c r="I22" s="10" t="inlineStr">
        <is>
          <t>Y</t>
        </is>
      </c>
      <c r="J22" s="10" t="inlineStr">
        <is>
          <t>N</t>
        </is>
      </c>
      <c r="K22" s="10" t="n"/>
      <c r="L22" s="10" t="inlineStr">
        <is>
          <t>Part 17 / Code A (Solid wood 45x30) | P-05</t>
        </is>
      </c>
      <c r="M22" s="25">
        <f>IF(OR(E22="",F22="",G22=""),"",E22*F22*G22/1000000000*IF(H22="",1,H22))</f>
        <v/>
      </c>
      <c r="N22" s="19">
        <f>IF(OR(E22="",F22=""),"",E22*F22/1000000*IF(H22="",1,H22))</f>
        <v/>
      </c>
      <c r="O22" s="14">
        <f>IF(E22="","",IF(K22&lt;&gt;"",K22,IF(AND(E22*F22*G22/1000000000&lt;LISTS!$F$4,MAX(E22,F22,G22)&lt;LISTS!$F$5),"D",IF(I22="N","C",IF(J22="Y","A-CURVED",IF(AND(MEDIAN(E22,F22,G22)&lt;=LISTS!$F$10,MAX(E22,F22,G22)&lt;=LISTS!$F$11),"B",IF(MAX(E22,F22,G22)&gt;=LISTS!$F$3,"A","B")))))))</f>
        <v/>
      </c>
      <c r="P22" s="14" t="n"/>
      <c r="Q22" s="14" t="n"/>
      <c r="R22" s="14">
        <f>IF(E22="","",IF(B22="","material?",IF(OR(F22="",G22=""),"size?",IF(I22="","exposed Y/N?",IF(H22="","qty?",IF(B22="OTHER","OTHER: no rate, price it under hardware","OK"))))))</f>
        <v/>
      </c>
      <c r="S22" s="12">
        <f t="array" ref="S22">IF(OR(O22="",M22=""),"",IF(B22="MERANTI",RATES!$C$45,IFERROR(INDEX(RATES!$C:$C,MATCH(B22&amp;"_"&amp;SUBSTITUTE(O22,"-CURVED","C"),RATES!$A:$A,0)),"rate?")))</f>
        <v/>
      </c>
      <c r="T22" s="12">
        <f>IF(ISNUMBER(S22),M22*S22,"")</f>
        <v/>
      </c>
    </row>
    <row r="23" ht="15.75" customHeight="1" s="59">
      <c r="A23" s="9" t="n">
        <v>6</v>
      </c>
      <c r="B23" s="10" t="inlineStr">
        <is>
          <t>MINDI</t>
        </is>
      </c>
      <c r="C23" s="48" t="inlineStr">
        <is>
          <t>1 / A</t>
        </is>
      </c>
      <c r="D23" s="10" t="inlineStr">
        <is>
          <t>Rel Bawah Depan (Bottom Apron)</t>
        </is>
      </c>
      <c r="E23" s="10" t="n">
        <v>1410</v>
      </c>
      <c r="F23" s="10" t="n">
        <v>45</v>
      </c>
      <c r="G23" s="10" t="n">
        <v>30</v>
      </c>
      <c r="H23" s="10" t="n">
        <v>1</v>
      </c>
      <c r="I23" s="10" t="inlineStr">
        <is>
          <t>Y</t>
        </is>
      </c>
      <c r="J23" s="10" t="inlineStr">
        <is>
          <t>N</t>
        </is>
      </c>
      <c r="K23" s="10" t="n"/>
      <c r="L23" s="10" t="inlineStr">
        <is>
          <t>Part 1 / Code A (Solid wood 45x30) | P-06</t>
        </is>
      </c>
      <c r="M23" s="25">
        <f>IF(OR(E23="",F23="",G23=""),"",E23*F23*G23/1000000000*IF(H23="",1,H23))</f>
        <v/>
      </c>
      <c r="N23" s="19">
        <f>IF(OR(E23="",F23=""),"",E23*F23/1000000*IF(H23="",1,H23))</f>
        <v/>
      </c>
      <c r="O23" s="14">
        <f>IF(E23="","",IF(K23&lt;&gt;"",K23,IF(AND(E23*F23*G23/1000000000&lt;LISTS!$F$4,MAX(E23,F23,G23)&lt;LISTS!$F$5),"D",IF(I23="N","C",IF(J23="Y","A-CURVED",IF(AND(MEDIAN(E23,F23,G23)&lt;=LISTS!$F$10,MAX(E23,F23,G23)&lt;=LISTS!$F$11),"B",IF(MAX(E23,F23,G23)&gt;=LISTS!$F$3,"A","B")))))))</f>
        <v/>
      </c>
      <c r="P23" s="14" t="n"/>
      <c r="Q23" s="14" t="n"/>
      <c r="R23" s="14">
        <f>IF(E23="","",IF(B23="","material?",IF(OR(F23="",G23=""),"size?",IF(I23="","exposed Y/N?",IF(H23="","qty?",IF(B23="OTHER","OTHER: no rate, price it under hardware","OK"))))))</f>
        <v/>
      </c>
      <c r="S23" s="12">
        <f t="array" ref="S23">IF(OR(O23="",M23=""),"",IF(B23="MERANTI",RATES!$C$45,IFERROR(INDEX(RATES!$C:$C,MATCH(B23&amp;"_"&amp;SUBSTITUTE(O23,"-CURVED","C"),RATES!$A:$A,0)),"rate?")))</f>
        <v/>
      </c>
      <c r="T23" s="12">
        <f>IF(ISNUMBER(S23),M23*S23,"")</f>
        <v/>
      </c>
    </row>
    <row r="24" ht="15.75" customHeight="1" s="59">
      <c r="A24" s="9" t="n">
        <v>7</v>
      </c>
      <c r="B24" s="10" t="inlineStr">
        <is>
          <t>MINDI</t>
        </is>
      </c>
      <c r="C24" s="48" t="inlineStr">
        <is>
          <t>2 / A</t>
        </is>
      </c>
      <c r="D24" s="10" t="inlineStr">
        <is>
          <t>Rel Samping (Side Rails)</t>
        </is>
      </c>
      <c r="E24" s="10" t="n">
        <v>360</v>
      </c>
      <c r="F24" s="10" t="n">
        <v>45</v>
      </c>
      <c r="G24" s="10" t="n">
        <v>30</v>
      </c>
      <c r="H24" s="10" t="n">
        <v>4</v>
      </c>
      <c r="I24" s="10" t="inlineStr">
        <is>
          <t>Y</t>
        </is>
      </c>
      <c r="J24" s="10" t="inlineStr">
        <is>
          <t>N</t>
        </is>
      </c>
      <c r="K24" s="10" t="n"/>
      <c r="L24" s="10" t="inlineStr">
        <is>
          <t>Part 2 / Code A (Solid wood 45x30) | P-07</t>
        </is>
      </c>
      <c r="M24" s="25">
        <f>IF(OR(E24="",F24="",G24=""),"",E24*F24*G24/1000000000*IF(H24="",1,H24))</f>
        <v/>
      </c>
      <c r="N24" s="19">
        <f>IF(OR(E24="",F24=""),"",E24*F24/1000000*IF(H24="",1,H24))</f>
        <v/>
      </c>
      <c r="O24" s="14">
        <f>IF(E24="","",IF(K24&lt;&gt;"",K24,IF(AND(E24*F24*G24/1000000000&lt;LISTS!$F$4,MAX(E24,F24,G24)&lt;LISTS!$F$5),"D",IF(I24="N","C",IF(J24="Y","A-CURVED",IF(AND(MEDIAN(E24,F24,G24)&lt;=LISTS!$F$10,MAX(E24,F24,G24)&lt;=LISTS!$F$11),"B",IF(MAX(E24,F24,G24)&gt;=LISTS!$F$3,"A","B")))))))</f>
        <v/>
      </c>
      <c r="P24" s="14" t="n"/>
      <c r="Q24" s="14" t="n"/>
      <c r="R24" s="14">
        <f>IF(E24="","",IF(B24="","material?",IF(OR(F24="",G24=""),"size?",IF(I24="","exposed Y/N?",IF(H24="","qty?",IF(B24="OTHER","OTHER: no rate, price it under hardware","OK"))))))</f>
        <v/>
      </c>
      <c r="S24" s="12">
        <f t="array" ref="S24">IF(OR(O24="",M24=""),"",IF(B24="MERANTI",RATES!$C$45,IFERROR(INDEX(RATES!$C:$C,MATCH(B24&amp;"_"&amp;SUBSTITUTE(O24,"-CURVED","C"),RATES!$A:$A,0)),"rate?")))</f>
        <v/>
      </c>
      <c r="T24" s="12">
        <f>IF(ISNUMBER(S24),M24*S24,"")</f>
        <v/>
      </c>
    </row>
    <row r="25" ht="15.75" customHeight="1" s="59">
      <c r="A25" s="9" t="n">
        <v>8</v>
      </c>
      <c r="B25" s="10" t="inlineStr">
        <is>
          <t>MINDI</t>
        </is>
      </c>
      <c r="C25" s="48" t="inlineStr">
        <is>
          <t>16 / A</t>
        </is>
      </c>
      <c r="D25" s="10" t="inlineStr">
        <is>
          <t>Rel Belakang (Rear Rails)</t>
        </is>
      </c>
      <c r="E25" s="10" t="n">
        <v>1410</v>
      </c>
      <c r="F25" s="10" t="n">
        <v>45</v>
      </c>
      <c r="G25" s="10" t="n">
        <v>30</v>
      </c>
      <c r="H25" s="10" t="n">
        <v>2</v>
      </c>
      <c r="I25" s="10" t="inlineStr">
        <is>
          <t>N</t>
        </is>
      </c>
      <c r="J25" s="10" t="inlineStr">
        <is>
          <t>N</t>
        </is>
      </c>
      <c r="K25" s="10" t="n"/>
      <c r="L25" s="10" t="inlineStr">
        <is>
          <t>Part 16 / Code A (Solid wood 45x30) | P-08</t>
        </is>
      </c>
      <c r="M25" s="25">
        <f>IF(OR(E25="",F25="",G25=""),"",E25*F25*G25/1000000000*IF(H25="",1,H25))</f>
        <v/>
      </c>
      <c r="N25" s="19">
        <f>IF(OR(E25="",F25=""),"",E25*F25/1000000*IF(H25="",1,H25))</f>
        <v/>
      </c>
      <c r="O25" s="14">
        <f>IF(E25="","",IF(K25&lt;&gt;"",K25,IF(AND(E25*F25*G25/1000000000&lt;LISTS!$F$4,MAX(E25,F25,G25)&lt;LISTS!$F$5),"D",IF(I25="N","C",IF(J25="Y","A-CURVED",IF(AND(MEDIAN(E25,F25,G25)&lt;=LISTS!$F$10,MAX(E25,F25,G25)&lt;=LISTS!$F$11),"B",IF(MAX(E25,F25,G25)&gt;=LISTS!$F$3,"A","B")))))))</f>
        <v/>
      </c>
      <c r="P25" s="14" t="n"/>
      <c r="Q25" s="14" t="n"/>
      <c r="R25" s="14">
        <f>IF(E25="","",IF(B25="","material?",IF(OR(F25="",G25=""),"size?",IF(I25="","exposed Y/N?",IF(H25="","qty?",IF(B25="OTHER","OTHER: no rate, price it under hardware","OK"))))))</f>
        <v/>
      </c>
      <c r="S25" s="12">
        <f t="array" ref="S25">IF(OR(O25="",M25=""),"",IF(B25="MERANTI",RATES!$C$45,IFERROR(INDEX(RATES!$C:$C,MATCH(B25&amp;"_"&amp;SUBSTITUTE(O25,"-CURVED","C"),RATES!$A:$A,0)),"rate?")))</f>
        <v/>
      </c>
      <c r="T25" s="12">
        <f>IF(ISNUMBER(S25),M25*S25,"")</f>
        <v/>
      </c>
    </row>
    <row r="26" ht="15.75" customHeight="1" s="59">
      <c r="A26" s="9" t="n">
        <v>9</v>
      </c>
      <c r="B26" s="10" t="inlineStr">
        <is>
          <t>MINDI</t>
        </is>
      </c>
      <c r="C26" s="48" t="inlineStr">
        <is>
          <t>6 / A</t>
        </is>
      </c>
      <c r="D26" s="10" t="inlineStr">
        <is>
          <t>Frame Muka Laci Stile</t>
        </is>
      </c>
      <c r="E26" s="10" t="n">
        <v>200</v>
      </c>
      <c r="F26" s="10" t="n">
        <v>45</v>
      </c>
      <c r="G26" s="10" t="n">
        <v>20</v>
      </c>
      <c r="H26" s="10" t="n">
        <v>12</v>
      </c>
      <c r="I26" s="10" t="inlineStr">
        <is>
          <t>Y</t>
        </is>
      </c>
      <c r="J26" s="10" t="inlineStr">
        <is>
          <t>N</t>
        </is>
      </c>
      <c r="K26" s="10" t="n"/>
      <c r="L26" s="10" t="inlineStr">
        <is>
          <t>Part 6 / Code A (Solid wood 45x20) | P-09</t>
        </is>
      </c>
      <c r="M26" s="25">
        <f>IF(OR(E26="",F26="",G26=""),"",E26*F26*G26/1000000000*IF(H26="",1,H26))</f>
        <v/>
      </c>
      <c r="N26" s="19">
        <f>IF(OR(E26="",F26=""),"",E26*F26/1000000*IF(H26="",1,H26))</f>
        <v/>
      </c>
      <c r="O26" s="14">
        <f>IF(E26="","",IF(K26&lt;&gt;"",K26,IF(AND(E26*F26*G26/1000000000&lt;LISTS!$F$4,MAX(E26,F26,G26)&lt;LISTS!$F$5),"D",IF(I26="N","C",IF(J26="Y","A-CURVED",IF(AND(MEDIAN(E26,F26,G26)&lt;=LISTS!$F$10,MAX(E26,F26,G26)&lt;=LISTS!$F$11),"B",IF(MAX(E26,F26,G26)&gt;=LISTS!$F$3,"A","B")))))))</f>
        <v/>
      </c>
      <c r="P26" s="14" t="n"/>
      <c r="Q26" s="14" t="n"/>
      <c r="R26" s="14">
        <f>IF(E26="","",IF(B26="","material?",IF(OR(F26="",G26=""),"size?",IF(I26="","exposed Y/N?",IF(H26="","qty?",IF(B26="OTHER","OTHER: no rate, price it under hardware","OK"))))))</f>
        <v/>
      </c>
      <c r="S26" s="12">
        <f t="array" ref="S26">IF(OR(O26="",M26=""),"",IF(B26="MERANTI",RATES!$C$45,IFERROR(INDEX(RATES!$C:$C,MATCH(B26&amp;"_"&amp;SUBSTITUTE(O26,"-CURVED","C"),RATES!$A:$A,0)),"rate?")))</f>
        <v/>
      </c>
      <c r="T26" s="12">
        <f>IF(ISNUMBER(S26),M26*S26,"")</f>
        <v/>
      </c>
    </row>
    <row r="27" ht="15.75" customHeight="1" s="59">
      <c r="A27" s="9" t="n">
        <v>10</v>
      </c>
      <c r="B27" s="10" t="inlineStr">
        <is>
          <t>MINDI</t>
        </is>
      </c>
      <c r="C27" s="48" t="inlineStr">
        <is>
          <t>6 / A</t>
        </is>
      </c>
      <c r="D27" s="10" t="inlineStr">
        <is>
          <t>Frame Muka Laci Rail</t>
        </is>
      </c>
      <c r="E27" s="10" t="n">
        <v>615</v>
      </c>
      <c r="F27" s="10" t="n">
        <v>45</v>
      </c>
      <c r="G27" s="10" t="n">
        <v>20</v>
      </c>
      <c r="H27" s="10" t="n">
        <v>12</v>
      </c>
      <c r="I27" s="10" t="inlineStr">
        <is>
          <t>Y</t>
        </is>
      </c>
      <c r="J27" s="10" t="inlineStr">
        <is>
          <t>N</t>
        </is>
      </c>
      <c r="K27" s="10" t="n"/>
      <c r="L27" s="10" t="inlineStr">
        <is>
          <t>Part 6 / Code A (Solid wood 45x20) | P-10</t>
        </is>
      </c>
      <c r="M27" s="25">
        <f>IF(OR(E27="",F27="",G27=""),"",E27*F27*G27/1000000000*IF(H27="",1,H27))</f>
        <v/>
      </c>
      <c r="N27" s="19">
        <f>IF(OR(E27="",F27=""),"",E27*F27/1000000*IF(H27="",1,H27))</f>
        <v/>
      </c>
      <c r="O27" s="14">
        <f>IF(E27="","",IF(K27&lt;&gt;"",K27,IF(AND(E27*F27*G27/1000000000&lt;LISTS!$F$4,MAX(E27,F27,G27)&lt;LISTS!$F$5),"D",IF(I27="N","C",IF(J27="Y","A-CURVED",IF(AND(MEDIAN(E27,F27,G27)&lt;=LISTS!$F$10,MAX(E27,F27,G27)&lt;=LISTS!$F$11),"B",IF(MAX(E27,F27,G27)&gt;=LISTS!$F$3,"A","B")))))))</f>
        <v/>
      </c>
      <c r="P27" s="14" t="n"/>
      <c r="Q27" s="14" t="n"/>
      <c r="R27" s="14">
        <f>IF(E27="","",IF(B27="","material?",IF(OR(F27="",G27=""),"size?",IF(I27="","exposed Y/N?",IF(H27="","qty?",IF(B27="OTHER","OTHER: no rate, price it under hardware","OK"))))))</f>
        <v/>
      </c>
      <c r="S27" s="12">
        <f t="array" ref="S27">IF(OR(O27="",M27=""),"",IF(B27="MERANTI",RATES!$C$45,IFERROR(INDEX(RATES!$C:$C,MATCH(B27&amp;"_"&amp;SUBSTITUTE(O27,"-CURVED","C"),RATES!$A:$A,0)),"rate?")))</f>
        <v/>
      </c>
      <c r="T27" s="12">
        <f>IF(ISNUMBER(S27),M27*S27,"")</f>
        <v/>
      </c>
    </row>
    <row r="28" ht="15.75" customHeight="1" s="59">
      <c r="A28" s="9" t="n">
        <v>11</v>
      </c>
      <c r="B28" s="10" t="inlineStr">
        <is>
          <t>MINDI</t>
        </is>
      </c>
      <c r="C28" s="48" t="inlineStr">
        <is>
          <t>18 / A</t>
        </is>
      </c>
      <c r="D28" s="10" t="inlineStr">
        <is>
          <t>Drawer Cleats / Runner Supports</t>
        </is>
      </c>
      <c r="E28" s="10" t="n">
        <v>350</v>
      </c>
      <c r="F28" s="10" t="n">
        <v>30</v>
      </c>
      <c r="G28" s="10" t="n">
        <v>20</v>
      </c>
      <c r="H28" s="10" t="n">
        <v>12</v>
      </c>
      <c r="I28" s="10" t="inlineStr">
        <is>
          <t>N</t>
        </is>
      </c>
      <c r="J28" s="10" t="inlineStr">
        <is>
          <t>N</t>
        </is>
      </c>
      <c r="K28" s="10" t="n"/>
      <c r="L28" s="10" t="inlineStr">
        <is>
          <t>Part 18 / Code A (Solid wood 30x20) | P-11</t>
        </is>
      </c>
      <c r="M28" s="25">
        <f>IF(OR(E28="",F28="",G28=""),"",E28*F28*G28/1000000000*IF(H28="",1,H28))</f>
        <v/>
      </c>
      <c r="N28" s="19">
        <f>IF(OR(E28="",F28=""),"",E28*F28/1000000*IF(H28="",1,H28))</f>
        <v/>
      </c>
      <c r="O28" s="14">
        <f>IF(E28="","",IF(K28&lt;&gt;"",K28,IF(AND(E28*F28*G28/1000000000&lt;LISTS!$F$4,MAX(E28,F28,G28)&lt;LISTS!$F$5),"D",IF(I28="N","C",IF(J28="Y","A-CURVED",IF(AND(MEDIAN(E28,F28,G28)&lt;=LISTS!$F$10,MAX(E28,F28,G28)&lt;=LISTS!$F$11),"B",IF(MAX(E28,F28,G28)&gt;=LISTS!$F$3,"A","B")))))))</f>
        <v/>
      </c>
      <c r="P28" s="14" t="n"/>
      <c r="Q28" s="14" t="n"/>
      <c r="R28" s="14">
        <f>IF(E28="","",IF(B28="","material?",IF(OR(F28="",G28=""),"size?",IF(I28="","exposed Y/N?",IF(H28="","qty?",IF(B28="OTHER","OTHER: no rate, price it under hardware","OK"))))))</f>
        <v/>
      </c>
      <c r="S28" s="12">
        <f t="array" ref="S28">IF(OR(O28="",M28=""),"",IF(B28="MERANTI",RATES!$C$45,IFERROR(INDEX(RATES!$C:$C,MATCH(B28&amp;"_"&amp;SUBSTITUTE(O28,"-CURVED","C"),RATES!$A:$A,0)),"rate?")))</f>
        <v/>
      </c>
      <c r="T28" s="12">
        <f>IF(ISNUMBER(S28),M28*S28,"")</f>
        <v/>
      </c>
    </row>
    <row r="29" ht="15.75" customHeight="1" s="59">
      <c r="A29" s="9" t="n">
        <v>12</v>
      </c>
      <c r="B29" s="10" t="n"/>
      <c r="C29" s="48" t="n"/>
      <c r="D29" s="10" t="n"/>
      <c r="E29" s="10" t="n"/>
      <c r="F29" s="10" t="n"/>
      <c r="G29" s="10" t="n"/>
      <c r="H29" s="10" t="n"/>
      <c r="I29" s="10" t="n"/>
      <c r="J29" s="10" t="n"/>
      <c r="K29" s="10" t="n"/>
      <c r="L29" s="10" t="n"/>
      <c r="M29" s="25">
        <f>IF(OR(E29="",F29="",G29=""),"",E29*F29*G29/1000000000*IF(H29="",1,H29))</f>
        <v/>
      </c>
      <c r="N29" s="19">
        <f>IF(OR(E29="",F29=""),"",E29*F29/1000000*IF(H29="",1,H29))</f>
        <v/>
      </c>
      <c r="O29" s="14">
        <f>IF(E29="","",IF(K29&lt;&gt;"",K29,IF(AND(E29*F29*G29/1000000000&lt;LISTS!$F$4,MAX(E29,F29,G29)&lt;LISTS!$F$5),"D",IF(I29="N","C",IF(J29="Y","A-CURVED",IF(AND(MEDIAN(E29,F29,G29)&lt;=LISTS!$F$10,MAX(E29,F29,G29)&lt;=LISTS!$F$11),"B",IF(MAX(E29,F29,G29)&gt;=LISTS!$F$3,"A","B")))))))</f>
        <v/>
      </c>
      <c r="P29" s="14" t="n"/>
      <c r="Q29" s="14" t="n"/>
      <c r="R29" s="14">
        <f>IF(E29="","",IF(B29="","material?",IF(OR(F29="",G29=""),"size?",IF(I29="","exposed Y/N?",IF(H29="","qty?",IF(B29="OTHER","OTHER: no rate, price it under hardware","OK"))))))</f>
        <v/>
      </c>
      <c r="S29" s="12">
        <f t="array" ref="S29">IF(OR(O29="",M29=""),"",IF(B29="MERANTI",RATES!$C$45,IFERROR(INDEX(RATES!$C:$C,MATCH(B29&amp;"_"&amp;SUBSTITUTE(O29,"-CURVED","C"),RATES!$A:$A,0)),"rate?")))</f>
        <v/>
      </c>
      <c r="T29" s="12">
        <f>IF(ISNUMBER(S29),M29*S29,"")</f>
        <v/>
      </c>
    </row>
    <row r="30" ht="15.75" customHeight="1" s="59">
      <c r="A30" s="9" t="n">
        <v>13</v>
      </c>
      <c r="B30" s="10" t="n"/>
      <c r="C30" s="48" t="n"/>
      <c r="D30" s="10" t="n"/>
      <c r="E30" s="10" t="n"/>
      <c r="F30" s="10" t="n"/>
      <c r="G30" s="10" t="n"/>
      <c r="H30" s="10" t="n"/>
      <c r="I30" s="10" t="n"/>
      <c r="J30" s="10" t="n"/>
      <c r="K30" s="10" t="n"/>
      <c r="L30" s="10" t="n"/>
      <c r="M30" s="25">
        <f>IF(OR(E30="",F30="",G30=""),"",E30*F30*G30/1000000000*IF(H30="",1,H30))</f>
        <v/>
      </c>
      <c r="N30" s="19">
        <f>IF(OR(E30="",F30=""),"",E30*F30/1000000*IF(H30="",1,H30))</f>
        <v/>
      </c>
      <c r="O30" s="14">
        <f>IF(E30="","",IF(K30&lt;&gt;"",K30,IF(AND(E30*F30*G30/1000000000&lt;LISTS!$F$4,MAX(E30,F30,G30)&lt;LISTS!$F$5),"D",IF(I30="N","C",IF(J30="Y","A-CURVED",IF(AND(MEDIAN(E30,F30,G30)&lt;=LISTS!$F$10,MAX(E30,F30,G30)&lt;=LISTS!$F$11),"B",IF(MAX(E30,F30,G30)&gt;=LISTS!$F$3,"A","B")))))))</f>
        <v/>
      </c>
      <c r="P30" s="14" t="n"/>
      <c r="Q30" s="14" t="n"/>
      <c r="R30" s="14">
        <f>IF(E30="","",IF(B30="","material?",IF(OR(F30="",G30=""),"size?",IF(I30="","exposed Y/N?",IF(H30="","qty?",IF(B30="OTHER","OTHER: no rate, price it under hardware","OK"))))))</f>
        <v/>
      </c>
      <c r="S30" s="12">
        <f t="array" ref="S30">IF(OR(O30="",M30=""),"",IF(B30="MERANTI",RATES!$C$45,IFERROR(INDEX(RATES!$C:$C,MATCH(B30&amp;"_"&amp;SUBSTITUTE(O30,"-CURVED","C"),RATES!$A:$A,0)),"rate?")))</f>
        <v/>
      </c>
      <c r="T30" s="12">
        <f>IF(ISNUMBER(S30),M30*S30,"")</f>
        <v/>
      </c>
    </row>
    <row r="31" ht="15.75" customHeight="1" s="59">
      <c r="A31" s="9" t="n">
        <v>14</v>
      </c>
      <c r="B31" s="10" t="n"/>
      <c r="C31" s="48" t="n"/>
      <c r="D31" s="10" t="n"/>
      <c r="E31" s="10" t="n"/>
      <c r="F31" s="10" t="n"/>
      <c r="G31" s="10" t="n"/>
      <c r="H31" s="10" t="n"/>
      <c r="I31" s="10" t="n"/>
      <c r="J31" s="10" t="n"/>
      <c r="K31" s="10" t="n"/>
      <c r="L31" s="10" t="n"/>
      <c r="M31" s="25">
        <f>IF(OR(E31="",F31="",G31=""),"",E31*F31*G31/1000000000*IF(H31="",1,H31))</f>
        <v/>
      </c>
      <c r="N31" s="19">
        <f>IF(OR(E31="",F31=""),"",E31*F31/1000000*IF(H31="",1,H31))</f>
        <v/>
      </c>
      <c r="O31" s="14">
        <f>IF(E31="","",IF(K31&lt;&gt;"",K31,IF(AND(E31*F31*G31/1000000000&lt;LISTS!$F$4,MAX(E31,F31,G31)&lt;LISTS!$F$5),"D",IF(I31="N","C",IF(J31="Y","A-CURVED",IF(AND(MEDIAN(E31,F31,G31)&lt;=LISTS!$F$10,MAX(E31,F31,G31)&lt;=LISTS!$F$11),"B",IF(MAX(E31,F31,G31)&gt;=LISTS!$F$3,"A","B")))))))</f>
        <v/>
      </c>
      <c r="P31" s="14" t="n"/>
      <c r="Q31" s="14" t="n"/>
      <c r="R31" s="14">
        <f>IF(E31="","",IF(B31="","material?",IF(OR(F31="",G31=""),"size?",IF(I31="","exposed Y/N?",IF(H31="","qty?",IF(B31="OTHER","OTHER: no rate, price it under hardware","OK"))))))</f>
        <v/>
      </c>
      <c r="S31" s="12">
        <f t="array" ref="S31">IF(OR(O31="",M31=""),"",IF(B31="MERANTI",RATES!$C$45,IFERROR(INDEX(RATES!$C:$C,MATCH(B31&amp;"_"&amp;SUBSTITUTE(O31,"-CURVED","C"),RATES!$A:$A,0)),"rate?")))</f>
        <v/>
      </c>
      <c r="T31" s="12">
        <f>IF(ISNUMBER(S31),M31*S31,"")</f>
        <v/>
      </c>
    </row>
    <row r="32" ht="15.75" customHeight="1" s="59">
      <c r="A32" s="9" t="n">
        <v>15</v>
      </c>
      <c r="B32" s="10" t="n"/>
      <c r="C32" s="48" t="n"/>
      <c r="D32" s="10" t="n"/>
      <c r="E32" s="10" t="n"/>
      <c r="F32" s="10" t="n"/>
      <c r="G32" s="10" t="n"/>
      <c r="H32" s="10" t="n"/>
      <c r="I32" s="10" t="n"/>
      <c r="J32" s="10" t="n"/>
      <c r="K32" s="10" t="n"/>
      <c r="L32" s="10" t="n"/>
      <c r="M32" s="25">
        <f>IF(OR(E32="",F32="",G32=""),"",E32*F32*G32/1000000000*IF(H32="",1,H32))</f>
        <v/>
      </c>
      <c r="N32" s="19">
        <f>IF(OR(E32="",F32=""),"",E32*F32/1000000*IF(H32="",1,H32))</f>
        <v/>
      </c>
      <c r="O32" s="14">
        <f>IF(E32="","",IF(K32&lt;&gt;"",K32,IF(AND(E32*F32*G32/1000000000&lt;LISTS!$F$4,MAX(E32,F32,G32)&lt;LISTS!$F$5),"D",IF(I32="N","C",IF(J32="Y","A-CURVED",IF(AND(MEDIAN(E32,F32,G32)&lt;=LISTS!$F$10,MAX(E32,F32,G32)&lt;=LISTS!$F$11),"B",IF(MAX(E32,F32,G32)&gt;=LISTS!$F$3,"A","B")))))))</f>
        <v/>
      </c>
      <c r="P32" s="14" t="n"/>
      <c r="Q32" s="14" t="n"/>
      <c r="R32" s="14">
        <f>IF(E32="","",IF(B32="","material?",IF(OR(F32="",G32=""),"size?",IF(I32="","exposed Y/N?",IF(H32="","qty?",IF(B32="OTHER","OTHER: no rate, price it under hardware","OK"))))))</f>
        <v/>
      </c>
      <c r="S32" s="12">
        <f t="array" ref="S32">IF(OR(O32="",M32=""),"",IF(B32="MERANTI",RATES!$C$45,IFERROR(INDEX(RATES!$C:$C,MATCH(B32&amp;"_"&amp;SUBSTITUTE(O32,"-CURVED","C"),RATES!$A:$A,0)),"rate?")))</f>
        <v/>
      </c>
      <c r="T32" s="12">
        <f>IF(ISNUMBER(S32),M32*S32,"")</f>
        <v/>
      </c>
    </row>
    <row r="33" ht="15.75" customHeight="1" s="59">
      <c r="A33" s="9" t="n">
        <v>16</v>
      </c>
      <c r="B33" s="10" t="n"/>
      <c r="C33" s="48" t="n"/>
      <c r="D33" s="10" t="n"/>
      <c r="E33" s="10" t="n"/>
      <c r="F33" s="10" t="n"/>
      <c r="G33" s="10" t="n"/>
      <c r="H33" s="10" t="n"/>
      <c r="I33" s="10" t="n"/>
      <c r="J33" s="10" t="n"/>
      <c r="K33" s="10" t="n"/>
      <c r="L33" s="10" t="n"/>
      <c r="M33" s="25">
        <f>IF(OR(E33="",F33="",G33=""),"",E33*F33*G33/1000000000*IF(H33="",1,H33))</f>
        <v/>
      </c>
      <c r="N33" s="19">
        <f>IF(OR(E33="",F33=""),"",E33*F33/1000000*IF(H33="",1,H33))</f>
        <v/>
      </c>
      <c r="O33" s="14">
        <f>IF(E33="","",IF(K33&lt;&gt;"",K33,IF(AND(E33*F33*G33/1000000000&lt;LISTS!$F$4,MAX(E33,F33,G33)&lt;LISTS!$F$5),"D",IF(I33="N","C",IF(J33="Y","A-CURVED",IF(AND(MEDIAN(E33,F33,G33)&lt;=LISTS!$F$10,MAX(E33,F33,G33)&lt;=LISTS!$F$11),"B",IF(MAX(E33,F33,G33)&gt;=LISTS!$F$3,"A","B")))))))</f>
        <v/>
      </c>
      <c r="P33" s="14" t="n"/>
      <c r="Q33" s="14" t="n"/>
      <c r="R33" s="14">
        <f>IF(E33="","",IF(B33="","material?",IF(OR(F33="",G33=""),"size?",IF(I33="","exposed Y/N?",IF(H33="","qty?",IF(B33="OTHER","OTHER: no rate, price it under hardware","OK"))))))</f>
        <v/>
      </c>
      <c r="S33" s="12">
        <f t="array" ref="S33">IF(OR(O33="",M33=""),"",IF(B33="MERANTI",RATES!$C$45,IFERROR(INDEX(RATES!$C:$C,MATCH(B33&amp;"_"&amp;SUBSTITUTE(O33,"-CURVED","C"),RATES!$A:$A,0)),"rate?")))</f>
        <v/>
      </c>
      <c r="T33" s="12">
        <f>IF(ISNUMBER(S33),M33*S33,"")</f>
        <v/>
      </c>
    </row>
    <row r="34" ht="15.75" customHeight="1" s="59">
      <c r="A34" s="9" t="n">
        <v>17</v>
      </c>
      <c r="B34" s="10" t="n"/>
      <c r="C34" s="48" t="n"/>
      <c r="D34" s="10" t="n"/>
      <c r="E34" s="10" t="n"/>
      <c r="F34" s="10" t="n"/>
      <c r="G34" s="10" t="n"/>
      <c r="H34" s="10" t="n"/>
      <c r="I34" s="10" t="n"/>
      <c r="J34" s="10" t="n"/>
      <c r="K34" s="10" t="n"/>
      <c r="L34" s="10" t="n"/>
      <c r="M34" s="25">
        <f>IF(OR(E34="",F34="",G34=""),"",E34*F34*G34/1000000000*IF(H34="",1,H34))</f>
        <v/>
      </c>
      <c r="N34" s="19">
        <f>IF(OR(E34="",F34=""),"",E34*F34/1000000*IF(H34="",1,H34))</f>
        <v/>
      </c>
      <c r="O34" s="14">
        <f>IF(E34="","",IF(K34&lt;&gt;"",K34,IF(AND(E34*F34*G34/1000000000&lt;LISTS!$F$4,MAX(E34,F34,G34)&lt;LISTS!$F$5),"D",IF(I34="N","C",IF(J34="Y","A-CURVED",IF(AND(MEDIAN(E34,F34,G34)&lt;=LISTS!$F$10,MAX(E34,F34,G34)&lt;=LISTS!$F$11),"B",IF(MAX(E34,F34,G34)&gt;=LISTS!$F$3,"A","B")))))))</f>
        <v/>
      </c>
      <c r="P34" s="14" t="n"/>
      <c r="Q34" s="14" t="n"/>
      <c r="R34" s="14">
        <f>IF(E34="","",IF(B34="","material?",IF(OR(F34="",G34=""),"size?",IF(I34="","exposed Y/N?",IF(H34="","qty?",IF(B34="OTHER","OTHER: no rate, price it under hardware","OK"))))))</f>
        <v/>
      </c>
      <c r="S34" s="12">
        <f t="array" ref="S34">IF(OR(O34="",M34=""),"",IF(B34="MERANTI",RATES!$C$45,IFERROR(INDEX(RATES!$C:$C,MATCH(B34&amp;"_"&amp;SUBSTITUTE(O34,"-CURVED","C"),RATES!$A:$A,0)),"rate?")))</f>
        <v/>
      </c>
      <c r="T34" s="12">
        <f>IF(ISNUMBER(S34),M34*S34,"")</f>
        <v/>
      </c>
    </row>
    <row r="35" ht="15.75" customHeight="1" s="59">
      <c r="A35" s="9" t="n">
        <v>18</v>
      </c>
      <c r="B35" s="10" t="n"/>
      <c r="C35" s="48" t="n"/>
      <c r="D35" s="10" t="n"/>
      <c r="E35" s="10" t="n"/>
      <c r="F35" s="10" t="n"/>
      <c r="G35" s="10" t="n"/>
      <c r="H35" s="10" t="n"/>
      <c r="I35" s="10" t="n"/>
      <c r="J35" s="10" t="n"/>
      <c r="K35" s="10" t="n"/>
      <c r="L35" s="10" t="n"/>
      <c r="M35" s="25">
        <f>IF(OR(E35="",F35="",G35=""),"",E35*F35*G35/1000000000*IF(H35="",1,H35))</f>
        <v/>
      </c>
      <c r="N35" s="19">
        <f>IF(OR(E35="",F35=""),"",E35*F35/1000000*IF(H35="",1,H35))</f>
        <v/>
      </c>
      <c r="O35" s="14">
        <f>IF(E35="","",IF(K35&lt;&gt;"",K35,IF(AND(E35*F35*G35/1000000000&lt;LISTS!$F$4,MAX(E35,F35,G35)&lt;LISTS!$F$5),"D",IF(I35="N","C",IF(J35="Y","A-CURVED",IF(AND(MEDIAN(E35,F35,G35)&lt;=LISTS!$F$10,MAX(E35,F35,G35)&lt;=LISTS!$F$11),"B",IF(MAX(E35,F35,G35)&gt;=LISTS!$F$3,"A","B")))))))</f>
        <v/>
      </c>
      <c r="P35" s="14" t="n"/>
      <c r="Q35" s="14" t="n"/>
      <c r="R35" s="14">
        <f>IF(E35="","",IF(B35="","material?",IF(OR(F35="",G35=""),"size?",IF(I35="","exposed Y/N?",IF(H35="","qty?",IF(B35="OTHER","OTHER: no rate, price it under hardware","OK"))))))</f>
        <v/>
      </c>
      <c r="S35" s="12">
        <f t="array" ref="S35">IF(OR(O35="",M35=""),"",IF(B35="MERANTI",RATES!$C$45,IFERROR(INDEX(RATES!$C:$C,MATCH(B35&amp;"_"&amp;SUBSTITUTE(O35,"-CURVED","C"),RATES!$A:$A,0)),"rate?")))</f>
        <v/>
      </c>
      <c r="T35" s="12">
        <f>IF(ISNUMBER(S35),M35*S35,"")</f>
        <v/>
      </c>
    </row>
    <row r="36" ht="15.75" customHeight="1" s="59">
      <c r="A36" s="9" t="n">
        <v>19</v>
      </c>
      <c r="B36" s="10" t="n"/>
      <c r="C36" s="48" t="n"/>
      <c r="D36" s="10" t="n"/>
      <c r="E36" s="10" t="n"/>
      <c r="F36" s="10" t="n"/>
      <c r="G36" s="10" t="n"/>
      <c r="H36" s="10" t="n"/>
      <c r="I36" s="10" t="n"/>
      <c r="J36" s="10" t="n"/>
      <c r="K36" s="10" t="n"/>
      <c r="L36" s="10" t="n"/>
      <c r="M36" s="25">
        <f>IF(OR(E36="",F36="",G36=""),"",E36*F36*G36/1000000000*IF(H36="",1,H36))</f>
        <v/>
      </c>
      <c r="N36" s="19">
        <f>IF(OR(E36="",F36=""),"",E36*F36/1000000*IF(H36="",1,H36))</f>
        <v/>
      </c>
      <c r="O36" s="14">
        <f>IF(E36="","",IF(K36&lt;&gt;"",K36,IF(AND(E36*F36*G36/1000000000&lt;LISTS!$F$4,MAX(E36,F36,G36)&lt;LISTS!$F$5),"D",IF(I36="N","C",IF(J36="Y","A-CURVED",IF(AND(MEDIAN(E36,F36,G36)&lt;=LISTS!$F$10,MAX(E36,F36,G36)&lt;=LISTS!$F$11),"B",IF(MAX(E36,F36,G36)&gt;=LISTS!$F$3,"A","B")))))))</f>
        <v/>
      </c>
      <c r="P36" s="14" t="n"/>
      <c r="Q36" s="14" t="n"/>
      <c r="R36" s="14">
        <f>IF(E36="","",IF(B36="","material?",IF(OR(F36="",G36=""),"size?",IF(I36="","exposed Y/N?",IF(H36="","qty?",IF(B36="OTHER","OTHER: no rate, price it under hardware","OK"))))))</f>
        <v/>
      </c>
      <c r="S36" s="12">
        <f t="array" ref="S36">IF(OR(O36="",M36=""),"",IF(B36="MERANTI",RATES!$C$45,IFERROR(INDEX(RATES!$C:$C,MATCH(B36&amp;"_"&amp;SUBSTITUTE(O36,"-CURVED","C"),RATES!$A:$A,0)),"rate?")))</f>
        <v/>
      </c>
      <c r="T36" s="12">
        <f>IF(ISNUMBER(S36),M36*S36,"")</f>
        <v/>
      </c>
    </row>
    <row r="37" ht="15.75" customHeight="1" s="59">
      <c r="A37" s="9" t="n">
        <v>20</v>
      </c>
      <c r="B37" s="10" t="n"/>
      <c r="C37" s="48" t="n"/>
      <c r="D37" s="10" t="n"/>
      <c r="E37" s="10" t="n"/>
      <c r="F37" s="10" t="n"/>
      <c r="G37" s="10" t="n"/>
      <c r="H37" s="10" t="n"/>
      <c r="I37" s="10" t="n"/>
      <c r="J37" s="10" t="n"/>
      <c r="K37" s="10" t="n"/>
      <c r="L37" s="10" t="n"/>
      <c r="M37" s="25">
        <f>IF(OR(E37="",F37="",G37=""),"",E37*F37*G37/1000000000*IF(H37="",1,H37))</f>
        <v/>
      </c>
      <c r="N37" s="19">
        <f>IF(OR(E37="",F37=""),"",E37*F37/1000000*IF(H37="",1,H37))</f>
        <v/>
      </c>
      <c r="O37" s="14">
        <f>IF(E37="","",IF(K37&lt;&gt;"",K37,IF(AND(E37*F37*G37/1000000000&lt;LISTS!$F$4,MAX(E37,F37,G37)&lt;LISTS!$F$5),"D",IF(I37="N","C",IF(J37="Y","A-CURVED",IF(AND(MEDIAN(E37,F37,G37)&lt;=LISTS!$F$10,MAX(E37,F37,G37)&lt;=LISTS!$F$11),"B",IF(MAX(E37,F37,G37)&gt;=LISTS!$F$3,"A","B")))))))</f>
        <v/>
      </c>
      <c r="P37" s="14" t="n"/>
      <c r="Q37" s="14" t="n"/>
      <c r="R37" s="14">
        <f>IF(E37="","",IF(B37="","material?",IF(OR(F37="",G37=""),"size?",IF(I37="","exposed Y/N?",IF(H37="","qty?",IF(B37="OTHER","OTHER: no rate, price it under hardware","OK"))))))</f>
        <v/>
      </c>
      <c r="S37" s="12">
        <f t="array" ref="S37">IF(OR(O37="",M37=""),"",IF(B37="MERANTI",RATES!$C$45,IFERROR(INDEX(RATES!$C:$C,MATCH(B37&amp;"_"&amp;SUBSTITUTE(O37,"-CURVED","C"),RATES!$A:$A,0)),"rate?")))</f>
        <v/>
      </c>
      <c r="T37" s="12">
        <f>IF(ISNUMBER(S37),M37*S37,"")</f>
        <v/>
      </c>
    </row>
    <row r="38" ht="15.75" customHeight="1" s="59">
      <c r="A38" s="9" t="n">
        <v>21</v>
      </c>
      <c r="B38" s="10" t="n"/>
      <c r="C38" s="48" t="n"/>
      <c r="D38" s="10" t="n"/>
      <c r="E38" s="10" t="n"/>
      <c r="F38" s="10" t="n"/>
      <c r="G38" s="10" t="n"/>
      <c r="H38" s="10" t="n"/>
      <c r="I38" s="10" t="n"/>
      <c r="J38" s="10" t="n"/>
      <c r="K38" s="10" t="n"/>
      <c r="L38" s="10" t="n"/>
      <c r="M38" s="25">
        <f>IF(OR(E38="",F38="",G38=""),"",E38*F38*G38/1000000000*IF(H38="",1,H38))</f>
        <v/>
      </c>
      <c r="N38" s="19">
        <f>IF(OR(E38="",F38=""),"",E38*F38/1000000*IF(H38="",1,H38))</f>
        <v/>
      </c>
      <c r="O38" s="14">
        <f>IF(E38="","",IF(K38&lt;&gt;"",K38,IF(AND(E38*F38*G38/1000000000&lt;LISTS!$F$4,MAX(E38,F38,G38)&lt;LISTS!$F$5),"D",IF(I38="N","C",IF(J38="Y","A-CURVED",IF(AND(MEDIAN(E38,F38,G38)&lt;=LISTS!$F$10,MAX(E38,F38,G38)&lt;=LISTS!$F$11),"B",IF(MAX(E38,F38,G38)&gt;=LISTS!$F$3,"A","B")))))))</f>
        <v/>
      </c>
      <c r="P38" s="14" t="n"/>
      <c r="Q38" s="14" t="n"/>
      <c r="R38" s="14">
        <f>IF(E38="","",IF(B38="","material?",IF(OR(F38="",G38=""),"size?",IF(I38="","exposed Y/N?",IF(H38="","qty?",IF(B38="OTHER","OTHER: no rate, price it under hardware","OK"))))))</f>
        <v/>
      </c>
      <c r="S38" s="12">
        <f t="array" ref="S38">IF(OR(O38="",M38=""),"",IF(B38="MERANTI",RATES!$C$45,IFERROR(INDEX(RATES!$C:$C,MATCH(B38&amp;"_"&amp;SUBSTITUTE(O38,"-CURVED","C"),RATES!$A:$A,0)),"rate?")))</f>
        <v/>
      </c>
      <c r="T38" s="12">
        <f>IF(ISNUMBER(S38),M38*S38,"")</f>
        <v/>
      </c>
    </row>
    <row r="39" ht="15.75" customHeight="1" s="59">
      <c r="A39" s="9" t="n">
        <v>22</v>
      </c>
      <c r="B39" s="10" t="n"/>
      <c r="C39" s="48" t="n"/>
      <c r="D39" s="10" t="n"/>
      <c r="E39" s="10" t="n"/>
      <c r="F39" s="10" t="n"/>
      <c r="G39" s="10" t="n"/>
      <c r="H39" s="10" t="n"/>
      <c r="I39" s="10" t="n"/>
      <c r="J39" s="10" t="n"/>
      <c r="K39" s="10" t="n"/>
      <c r="L39" s="10" t="n"/>
      <c r="M39" s="25">
        <f>IF(OR(E39="",F39="",G39=""),"",E39*F39*G39/1000000000*IF(H39="",1,H39))</f>
        <v/>
      </c>
      <c r="N39" s="19">
        <f>IF(OR(E39="",F39=""),"",E39*F39/1000000*IF(H39="",1,H39))</f>
        <v/>
      </c>
      <c r="O39" s="14">
        <f>IF(E39="","",IF(K39&lt;&gt;"",K39,IF(AND(E39*F39*G39/1000000000&lt;LISTS!$F$4,MAX(E39,F39,G39)&lt;LISTS!$F$5),"D",IF(I39="N","C",IF(J39="Y","A-CURVED",IF(AND(MEDIAN(E39,F39,G39)&lt;=LISTS!$F$10,MAX(E39,F39,G39)&lt;=LISTS!$F$11),"B",IF(MAX(E39,F39,G39)&gt;=LISTS!$F$3,"A","B")))))))</f>
        <v/>
      </c>
      <c r="P39" s="14" t="n"/>
      <c r="Q39" s="14" t="n"/>
      <c r="R39" s="14">
        <f>IF(E39="","",IF(B39="","material?",IF(OR(F39="",G39=""),"size?",IF(I39="","exposed Y/N?",IF(H39="","qty?",IF(B39="OTHER","OTHER: no rate, price it under hardware","OK"))))))</f>
        <v/>
      </c>
      <c r="S39" s="12">
        <f t="array" ref="S39">IF(OR(O39="",M39=""),"",IF(B39="MERANTI",RATES!$C$45,IFERROR(INDEX(RATES!$C:$C,MATCH(B39&amp;"_"&amp;SUBSTITUTE(O39,"-CURVED","C"),RATES!$A:$A,0)),"rate?")))</f>
        <v/>
      </c>
      <c r="T39" s="12">
        <f>IF(ISNUMBER(S39),M39*S39,"")</f>
        <v/>
      </c>
    </row>
    <row r="40" ht="15.75" customHeight="1" s="59">
      <c r="A40" s="9" t="n">
        <v>23</v>
      </c>
      <c r="B40" s="10" t="n"/>
      <c r="C40" s="48" t="n"/>
      <c r="D40" s="10" t="n"/>
      <c r="E40" s="10" t="n"/>
      <c r="F40" s="10" t="n"/>
      <c r="G40" s="10" t="n"/>
      <c r="H40" s="10" t="n"/>
      <c r="I40" s="10" t="n"/>
      <c r="J40" s="10" t="n"/>
      <c r="K40" s="10" t="n"/>
      <c r="L40" s="10" t="n"/>
      <c r="M40" s="25">
        <f>IF(OR(E40="",F40="",G40=""),"",E40*F40*G40/1000000000*IF(H40="",1,H40))</f>
        <v/>
      </c>
      <c r="N40" s="19">
        <f>IF(OR(E40="",F40=""),"",E40*F40/1000000*IF(H40="",1,H40))</f>
        <v/>
      </c>
      <c r="O40" s="14">
        <f>IF(E40="","",IF(K40&lt;&gt;"",K40,IF(AND(E40*F40*G40/1000000000&lt;LISTS!$F$4,MAX(E40,F40,G40)&lt;LISTS!$F$5),"D",IF(I40="N","C",IF(J40="Y","A-CURVED",IF(AND(MEDIAN(E40,F40,G40)&lt;=LISTS!$F$10,MAX(E40,F40,G40)&lt;=LISTS!$F$11),"B",IF(MAX(E40,F40,G40)&gt;=LISTS!$F$3,"A","B")))))))</f>
        <v/>
      </c>
      <c r="P40" s="14" t="n"/>
      <c r="Q40" s="14" t="n"/>
      <c r="R40" s="14">
        <f>IF(E40="","",IF(B40="","material?",IF(OR(F40="",G40=""),"size?",IF(I40="","exposed Y/N?",IF(H40="","qty?",IF(B40="OTHER","OTHER: no rate, price it under hardware","OK"))))))</f>
        <v/>
      </c>
      <c r="S40" s="12">
        <f t="array" ref="S40">IF(OR(O40="",M40=""),"",IF(B40="MERANTI",RATES!$C$45,IFERROR(INDEX(RATES!$C:$C,MATCH(B40&amp;"_"&amp;SUBSTITUTE(O40,"-CURVED","C"),RATES!$A:$A,0)),"rate?")))</f>
        <v/>
      </c>
      <c r="T40" s="12">
        <f>IF(ISNUMBER(S40),M40*S40,"")</f>
        <v/>
      </c>
    </row>
    <row r="41" ht="15.75" customHeight="1" s="59">
      <c r="A41" s="9" t="n">
        <v>24</v>
      </c>
      <c r="B41" s="10" t="n"/>
      <c r="C41" s="48" t="n"/>
      <c r="D41" s="10" t="n"/>
      <c r="E41" s="10" t="n"/>
      <c r="F41" s="10" t="n"/>
      <c r="G41" s="10" t="n"/>
      <c r="H41" s="10" t="n"/>
      <c r="I41" s="10" t="n"/>
      <c r="J41" s="10" t="n"/>
      <c r="K41" s="10" t="n"/>
      <c r="L41" s="10" t="n"/>
      <c r="M41" s="25">
        <f>IF(OR(E41="",F41="",G41=""),"",E41*F41*G41/1000000000*IF(H41="",1,H41))</f>
        <v/>
      </c>
      <c r="N41" s="19">
        <f>IF(OR(E41="",F41=""),"",E41*F41/1000000*IF(H41="",1,H41))</f>
        <v/>
      </c>
      <c r="O41" s="14">
        <f>IF(E41="","",IF(K41&lt;&gt;"",K41,IF(AND(E41*F41*G41/1000000000&lt;LISTS!$F$4,MAX(E41,F41,G41)&lt;LISTS!$F$5),"D",IF(I41="N","C",IF(J41="Y","A-CURVED",IF(AND(MEDIAN(E41,F41,G41)&lt;=LISTS!$F$10,MAX(E41,F41,G41)&lt;=LISTS!$F$11),"B",IF(MAX(E41,F41,G41)&gt;=LISTS!$F$3,"A","B")))))))</f>
        <v/>
      </c>
      <c r="P41" s="14" t="n"/>
      <c r="Q41" s="14" t="n"/>
      <c r="R41" s="14">
        <f>IF(E41="","",IF(B41="","material?",IF(OR(F41="",G41=""),"size?",IF(I41="","exposed Y/N?",IF(H41="","qty?",IF(B41="OTHER","OTHER: no rate, price it under hardware","OK"))))))</f>
        <v/>
      </c>
      <c r="S41" s="12">
        <f t="array" ref="S41">IF(OR(O41="",M41=""),"",IF(B41="MERANTI",RATES!$C$45,IFERROR(INDEX(RATES!$C:$C,MATCH(B41&amp;"_"&amp;SUBSTITUTE(O41,"-CURVED","C"),RATES!$A:$A,0)),"rate?")))</f>
        <v/>
      </c>
      <c r="T41" s="12">
        <f>IF(ISNUMBER(S41),M41*S41,"")</f>
        <v/>
      </c>
    </row>
    <row r="42" ht="15.75" customHeight="1" s="59">
      <c r="A42" s="9" t="n">
        <v>25</v>
      </c>
      <c r="B42" s="10" t="n"/>
      <c r="C42" s="48" t="n"/>
      <c r="D42" s="10" t="n"/>
      <c r="E42" s="10" t="n"/>
      <c r="F42" s="10" t="n"/>
      <c r="G42" s="10" t="n"/>
      <c r="H42" s="10" t="n"/>
      <c r="I42" s="10" t="n"/>
      <c r="J42" s="10" t="n"/>
      <c r="K42" s="10" t="n"/>
      <c r="L42" s="10" t="n"/>
      <c r="M42" s="25">
        <f>IF(OR(E42="",F42="",G42=""),"",E42*F42*G42/1000000000*IF(H42="",1,H42))</f>
        <v/>
      </c>
      <c r="N42" s="19">
        <f>IF(OR(E42="",F42=""),"",E42*F42/1000000*IF(H42="",1,H42))</f>
        <v/>
      </c>
      <c r="O42" s="14">
        <f>IF(E42="","",IF(K42&lt;&gt;"",K42,IF(AND(E42*F42*G42/1000000000&lt;LISTS!$F$4,MAX(E42,F42,G42)&lt;LISTS!$F$5),"D",IF(I42="N","C",IF(J42="Y","A-CURVED",IF(AND(MEDIAN(E42,F42,G42)&lt;=LISTS!$F$10,MAX(E42,F42,G42)&lt;=LISTS!$F$11),"B",IF(MAX(E42,F42,G42)&gt;=LISTS!$F$3,"A","B")))))))</f>
        <v/>
      </c>
      <c r="P42" s="14" t="n"/>
      <c r="Q42" s="14" t="n"/>
      <c r="R42" s="14">
        <f>IF(E42="","",IF(B42="","material?",IF(OR(F42="",G42=""),"size?",IF(I42="","exposed Y/N?",IF(H42="","qty?",IF(B42="OTHER","OTHER: no rate, price it under hardware","OK"))))))</f>
        <v/>
      </c>
      <c r="S42" s="12">
        <f t="array" ref="S42">IF(OR(O42="",M42=""),"",IF(B42="MERANTI",RATES!$C$45,IFERROR(INDEX(RATES!$C:$C,MATCH(B42&amp;"_"&amp;SUBSTITUTE(O42,"-CURVED","C"),RATES!$A:$A,0)),"rate?")))</f>
        <v/>
      </c>
      <c r="T42" s="12">
        <f>IF(ISNUMBER(S42),M42*S42,"")</f>
        <v/>
      </c>
    </row>
    <row r="43" ht="15.75" customHeight="1" s="59"/>
    <row r="44" ht="15.75" customHeight="1" s="59">
      <c r="A44" s="5" t="inlineStr">
        <is>
          <t>PANELS: one line per panel, L × W in mm, T = board thickness, qty per item. No size (round, oversize, laminated): enter SHEETS (manual)</t>
        </is>
      </c>
    </row>
    <row r="45" ht="31.5" customHeight="1" s="59">
      <c r="A45" s="8" t="inlineStr">
        <is>
          <t>NO</t>
        </is>
      </c>
      <c r="B45" s="8" t="inlineStr">
        <is>
          <t>PANEL TYPE</t>
        </is>
      </c>
      <c r="C45" s="47" t="inlineStr">
        <is>
          <t>LABEL</t>
        </is>
      </c>
      <c r="D45" s="8" t="inlineStr">
        <is>
          <t>COMPONENT</t>
        </is>
      </c>
      <c r="E45" s="8" t="inlineStr">
        <is>
          <t>L mm</t>
        </is>
      </c>
      <c r="F45" s="8" t="inlineStr">
        <is>
          <t>W mm</t>
        </is>
      </c>
      <c r="G45" s="8" t="inlineStr">
        <is>
          <t>T mm</t>
        </is>
      </c>
      <c r="H45" s="8" t="inlineStr">
        <is>
          <t>QTY</t>
        </is>
      </c>
      <c r="I45" s="8" t="inlineStr">
        <is>
          <t>EXPOSED FACES (0/1/2)</t>
        </is>
      </c>
      <c r="J45" s="8" t="n"/>
      <c r="K45" s="8" t="inlineStr">
        <is>
          <t>SHEETS (manual)</t>
        </is>
      </c>
      <c r="L45" s="8" t="inlineStr">
        <is>
          <t>NOTE</t>
        </is>
      </c>
      <c r="M45" s="8" t="inlineStr">
        <is>
          <t>VOL m³ (calc)</t>
        </is>
      </c>
      <c r="N45" s="8" t="inlineStr">
        <is>
          <t>FACE m² (calc)</t>
        </is>
      </c>
      <c r="O45" s="8" t="inlineStr">
        <is>
          <t>PIECES/SHEET (calc)</t>
        </is>
      </c>
      <c r="P45" s="8" t="inlineStr">
        <is>
          <t>SHEETS (calc)</t>
        </is>
      </c>
      <c r="Q45" s="8" t="inlineStr">
        <is>
          <t>WASTE % (calc)</t>
        </is>
      </c>
      <c r="R45" s="8" t="inlineStr">
        <is>
          <t>CHECK (calc)</t>
        </is>
      </c>
      <c r="S45" s="8" t="inlineStr">
        <is>
          <t>RATE (system)</t>
        </is>
      </c>
      <c r="T45" s="8" t="inlineStr">
        <is>
          <t>COST IDR (system)</t>
        </is>
      </c>
    </row>
    <row r="46" ht="15.75" customHeight="1" s="59">
      <c r="A46" s="9" t="n">
        <v>1</v>
      </c>
      <c r="B46" s="10" t="inlineStr">
        <is>
          <t>PLY-18-MSF</t>
        </is>
      </c>
      <c r="C46" s="48" t="inlineStr">
        <is>
          <t>20 / B-18-1X</t>
        </is>
      </c>
      <c r="D46" s="10" t="inlineStr">
        <is>
          <t>Top Cap Panel (Veneer Mindi 1F)</t>
        </is>
      </c>
      <c r="E46" s="10" t="n">
        <v>1500</v>
      </c>
      <c r="F46" s="10" t="n">
        <v>450</v>
      </c>
      <c r="G46" s="10" t="n">
        <v>18</v>
      </c>
      <c r="H46" s="10" t="n">
        <v>1</v>
      </c>
      <c r="I46" s="10" t="n">
        <v>1</v>
      </c>
      <c r="J46" s="10" t="n"/>
      <c r="K46" s="10" t="n"/>
      <c r="L46" s="10" t="inlineStr">
        <is>
          <t>Part 20 / Code B-18-1X | Plywood 18mm MSF</t>
        </is>
      </c>
      <c r="M46" s="25">
        <f>IF(OR(E46="",F46="",G46=""),"",E46*F46*G46/1000000000*IF(H46="",1,H46))</f>
        <v/>
      </c>
      <c r="N46" s="19">
        <f>IF(OR(E46="",F46=""),"",E46*F46/1000000*IF(H46="",1,H46))</f>
        <v/>
      </c>
      <c r="O46" s="14">
        <f>IF(OR(E46="",F46=""),"",MAX(INT(LISTS!$F$6/(E46+LISTS!$F$8))*INT(LISTS!$F$7/(F46+LISTS!$F$8)),INT(LISTS!$F$6/(F46+LISTS!$F$8))*INT(LISTS!$F$7/(E46+LISTS!$F$8))))</f>
        <v/>
      </c>
      <c r="P46" s="19">
        <f>IF(K46&lt;&gt;"",K46,IF(OR(O46="",O46=0),"",IF(H46="",1,H46)/O46))</f>
        <v/>
      </c>
      <c r="Q46" s="36">
        <f>IF(OR(K46&lt;&gt;"",P46=""),"",1-(IF(H46="",1,H46)*E46*F46)/(ROUNDUP(P46,0)*LISTS!$F$6*LISTS!$F$7))</f>
        <v/>
      </c>
      <c r="R46" s="14">
        <f>IF(AND(E46="",K46=""),"",IF(B46="","panel type?",IF(AND(K46="",O46=0),"panel bigger than sheet",IF(AND(G46&lt;&gt;"",IFERROR(VALUE(MID(B46,5,FIND("-",B46,5)-5)),0)&lt;&gt;G46),"T must match panel type",IF(I46="","exposed faces?","OK")))))</f>
        <v/>
      </c>
      <c r="S46" s="12">
        <f t="array" ref="S46">IF(OR(B46="",P46=""),"",IFERROR(INDEX(RATES!$C:$C,MATCH(B46,RATES!$A:$A,0)),"rate?"))</f>
        <v/>
      </c>
      <c r="T46" s="12">
        <f>IF(ISNUMBER(S46),IF(K46&lt;&gt;"",K46,IF(Q46&gt;RATES!$C$97,P46*(1+RATES!$C$98),ROUNDUP(P46,0)))*S46,"")</f>
        <v/>
      </c>
    </row>
    <row r="47" ht="15.75" customHeight="1" s="59">
      <c r="A47" s="9" t="n">
        <v>2</v>
      </c>
      <c r="B47" s="10" t="inlineStr">
        <is>
          <t>PLY-9-MSF</t>
        </is>
      </c>
      <c r="C47" s="48" t="inlineStr">
        <is>
          <t>13 / B-9-1X</t>
        </is>
      </c>
      <c r="D47" s="10" t="inlineStr">
        <is>
          <t>Dinding Samping (Left &amp; Right)</t>
        </is>
      </c>
      <c r="E47" s="10" t="n">
        <v>600</v>
      </c>
      <c r="F47" s="10" t="n">
        <v>360</v>
      </c>
      <c r="G47" s="10" t="n">
        <v>9</v>
      </c>
      <c r="H47" s="10" t="n">
        <v>2</v>
      </c>
      <c r="I47" s="10" t="n">
        <v>1</v>
      </c>
      <c r="J47" s="10" t="n"/>
      <c r="K47" s="10" t="n"/>
      <c r="L47" s="10" t="inlineStr">
        <is>
          <t>Part 13 / Code B-9-1X | Plywood 9mm MSF</t>
        </is>
      </c>
      <c r="M47" s="25">
        <f>IF(OR(E47="",F47="",G47=""),"",E47*F47*G47/1000000000*IF(H47="",1,H47))</f>
        <v/>
      </c>
      <c r="N47" s="19">
        <f>IF(OR(E47="",F47=""),"",E47*F47/1000000*IF(H47="",1,H47))</f>
        <v/>
      </c>
      <c r="O47" s="14">
        <f>IF(OR(E47="",F47=""),"",MAX(INT(LISTS!$F$6/(E47+LISTS!$F$8))*INT(LISTS!$F$7/(F47+LISTS!$F$8)),INT(LISTS!$F$6/(F47+LISTS!$F$8))*INT(LISTS!$F$7/(E47+LISTS!$F$8))))</f>
        <v/>
      </c>
      <c r="P47" s="19">
        <f>IF(K47&lt;&gt;"",K47,IF(OR(O47="",O47=0),"",IF(H47="",1,H47)/O47))</f>
        <v/>
      </c>
      <c r="Q47" s="36">
        <f>IF(OR(K47&lt;&gt;"",P47=""),"",1-(IF(H47="",1,H47)*E47*F47)/(ROUNDUP(P47,0)*LISTS!$F$6*LISTS!$F$7))</f>
        <v/>
      </c>
      <c r="R47" s="14">
        <f>IF(AND(E47="",K47=""),"",IF(B47="","panel type?",IF(AND(K47="",O47=0),"panel bigger than sheet",IF(AND(G47&lt;&gt;"",IFERROR(VALUE(MID(B47,5,FIND("-",B47,5)-5)),0)&lt;&gt;G47),"T must match panel type",IF(I47="","exposed faces?","OK")))))</f>
        <v/>
      </c>
      <c r="S47" s="12">
        <f t="array" ref="S47">IF(OR(B47="",P47=""),"",IFERROR(INDEX(RATES!$C:$C,MATCH(B47,RATES!$A:$A,0)),"rate?"))</f>
        <v/>
      </c>
      <c r="T47" s="12">
        <f>IF(ISNUMBER(S47),IF(K47&lt;&gt;"",K47,IF(Q47&gt;RATES!$C$97,P47*(1+RATES!$C$98),ROUNDUP(P47,0)))*S47,"")</f>
        <v/>
      </c>
    </row>
    <row r="48" ht="15.75" customHeight="1" s="59">
      <c r="A48" s="9" t="n">
        <v>3</v>
      </c>
      <c r="B48" s="10" t="inlineStr">
        <is>
          <t>PLY-9-RAW</t>
        </is>
      </c>
      <c r="C48" s="48" t="inlineStr">
        <is>
          <t>5 / B-9-0X</t>
        </is>
      </c>
      <c r="D48" s="10" t="inlineStr">
        <is>
          <t>Dinding Pembagi Tengah</t>
        </is>
      </c>
      <c r="E48" s="10" t="n">
        <v>600</v>
      </c>
      <c r="F48" s="10" t="n">
        <v>360</v>
      </c>
      <c r="G48" s="10" t="n">
        <v>9</v>
      </c>
      <c r="H48" s="10" t="n">
        <v>1</v>
      </c>
      <c r="I48" s="10" t="n">
        <v>0</v>
      </c>
      <c r="J48" s="10" t="n"/>
      <c r="K48" s="10" t="n"/>
      <c r="L48" s="10" t="inlineStr">
        <is>
          <t>Part 5 / Code B-9-0X | Plywood 9mm RAW</t>
        </is>
      </c>
      <c r="M48" s="25">
        <f>IF(OR(E48="",F48="",G48=""),"",E48*F48*G48/1000000000*IF(H48="",1,H48))</f>
        <v/>
      </c>
      <c r="N48" s="19">
        <f>IF(OR(E48="",F48=""),"",E48*F48/1000000*IF(H48="",1,H48))</f>
        <v/>
      </c>
      <c r="O48" s="14">
        <f>IF(OR(E48="",F48=""),"",MAX(INT(LISTS!$F$6/(E48+LISTS!$F$8))*INT(LISTS!$F$7/(F48+LISTS!$F$8)),INT(LISTS!$F$6/(F48+LISTS!$F$8))*INT(LISTS!$F$7/(E48+LISTS!$F$8))))</f>
        <v/>
      </c>
      <c r="P48" s="19">
        <f>IF(K48&lt;&gt;"",K48,IF(OR(O48="",O48=0),"",IF(H48="",1,H48)/O48))</f>
        <v/>
      </c>
      <c r="Q48" s="36">
        <f>IF(OR(K48&lt;&gt;"",P48=""),"",1-(IF(H48="",1,H48)*E48*F48)/(ROUNDUP(P48,0)*LISTS!$F$6*LISTS!$F$7))</f>
        <v/>
      </c>
      <c r="R48" s="14">
        <f>IF(AND(E48="",K48=""),"",IF(B48="","panel type?",IF(AND(K48="",O48=0),"panel bigger than sheet",IF(AND(G48&lt;&gt;"",IFERROR(VALUE(MID(B48,5,FIND("-",B48,5)-5)),0)&lt;&gt;G48),"T must match panel type",IF(I48="","exposed faces?","OK")))))</f>
        <v/>
      </c>
      <c r="S48" s="12">
        <f t="array" ref="S48">IF(OR(B48="",P48=""),"",IFERROR(INDEX(RATES!$C:$C,MATCH(B48,RATES!$A:$A,0)),"rate?"))</f>
        <v/>
      </c>
      <c r="T48" s="12">
        <f>IF(ISNUMBER(S48),IF(K48&lt;&gt;"",K48,IF(Q48&gt;RATES!$C$97,P48*(1+RATES!$C$98),ROUNDUP(P48,0)))*S48,"")</f>
        <v/>
      </c>
    </row>
    <row r="49" ht="15.75" customHeight="1" s="59">
      <c r="A49" s="9" t="n">
        <v>4</v>
      </c>
      <c r="B49" s="10" t="inlineStr">
        <is>
          <t>PLY-9-RAW</t>
        </is>
      </c>
      <c r="C49" s="48" t="inlineStr">
        <is>
          <t>12 / B-9-0X</t>
        </is>
      </c>
      <c r="D49" s="10" t="inlineStr">
        <is>
          <t>Dinding Belakang (Backing Panel)</t>
        </is>
      </c>
      <c r="E49" s="10" t="n">
        <v>1410</v>
      </c>
      <c r="F49" s="10" t="n">
        <v>600</v>
      </c>
      <c r="G49" s="10" t="n">
        <v>9</v>
      </c>
      <c r="H49" s="10" t="n">
        <v>1</v>
      </c>
      <c r="I49" s="10" t="n">
        <v>0</v>
      </c>
      <c r="J49" s="10" t="n"/>
      <c r="K49" s="10" t="n"/>
      <c r="L49" s="10" t="inlineStr">
        <is>
          <t>Part 12 / Code B-9-0X | Plywood 9mm RAW</t>
        </is>
      </c>
      <c r="M49" s="25">
        <f>IF(OR(E49="",F49="",G49=""),"",E49*F49*G49/1000000000*IF(H49="",1,H49))</f>
        <v/>
      </c>
      <c r="N49" s="19">
        <f>IF(OR(E49="",F49=""),"",E49*F49/1000000*IF(H49="",1,H49))</f>
        <v/>
      </c>
      <c r="O49" s="14">
        <f>IF(OR(E49="",F49=""),"",MAX(INT(LISTS!$F$6/(E49+LISTS!$F$8))*INT(LISTS!$F$7/(F49+LISTS!$F$8)),INT(LISTS!$F$6/(F49+LISTS!$F$8))*INT(LISTS!$F$7/(E49+LISTS!$F$8))))</f>
        <v/>
      </c>
      <c r="P49" s="19">
        <f>IF(K49&lt;&gt;"",K49,IF(OR(O49="",O49=0),"",IF(H49="",1,H49)/O49))</f>
        <v/>
      </c>
      <c r="Q49" s="36">
        <f>IF(OR(K49&lt;&gt;"",P49=""),"",1-(IF(H49="",1,H49)*E49*F49)/(ROUNDUP(P49,0)*LISTS!$F$6*LISTS!$F$7))</f>
        <v/>
      </c>
      <c r="R49" s="14">
        <f>IF(AND(E49="",K49=""),"",IF(B49="","panel type?",IF(AND(K49="",O49=0),"panel bigger than sheet",IF(AND(G49&lt;&gt;"",IFERROR(VALUE(MID(B49,5,FIND("-",B49,5)-5)),0)&lt;&gt;G49),"T must match panel type",IF(I49="","exposed faces?","OK")))))</f>
        <v/>
      </c>
      <c r="S49" s="12">
        <f t="array" ref="S49">IF(OR(B49="",P49=""),"",IFERROR(INDEX(RATES!$C:$C,MATCH(B49,RATES!$A:$A,0)),"rate?"))</f>
        <v/>
      </c>
      <c r="T49" s="12">
        <f>IF(ISNUMBER(S49),IF(K49&lt;&gt;"",K49,IF(Q49&gt;RATES!$C$97,P49*(1+RATES!$C$98),ROUNDUP(P49,0)))*S49,"")</f>
        <v/>
      </c>
    </row>
    <row r="50" ht="15.75" customHeight="1" s="59">
      <c r="A50" s="9" t="n">
        <v>5</v>
      </c>
      <c r="B50" s="10" t="inlineStr">
        <is>
          <t>PLY-12-RAW</t>
        </is>
      </c>
      <c r="C50" s="48" t="inlineStr">
        <is>
          <t>8 / B-12-0X</t>
        </is>
      </c>
      <c r="D50" s="10" t="inlineStr">
        <is>
          <t>Kotak Laci Dinding Samping</t>
        </is>
      </c>
      <c r="E50" s="10" t="n">
        <v>350</v>
      </c>
      <c r="F50" s="10" t="n">
        <v>140</v>
      </c>
      <c r="G50" s="10" t="n">
        <v>12</v>
      </c>
      <c r="H50" s="10" t="n">
        <v>12</v>
      </c>
      <c r="I50" s="10" t="n">
        <v>0</v>
      </c>
      <c r="J50" s="10" t="n"/>
      <c r="K50" s="10" t="n"/>
      <c r="L50" s="10" t="inlineStr">
        <is>
          <t>Part 8 / Code B-12-0X | Plywood 12mm RAW</t>
        </is>
      </c>
      <c r="M50" s="25">
        <f>IF(OR(E50="",F50="",G50=""),"",E50*F50*G50/1000000000*IF(H50="",1,H50))</f>
        <v/>
      </c>
      <c r="N50" s="19">
        <f>IF(OR(E50="",F50=""),"",E50*F50/1000000*IF(H50="",1,H50))</f>
        <v/>
      </c>
      <c r="O50" s="14">
        <f>IF(OR(E50="",F50=""),"",MAX(INT(LISTS!$F$6/(E50+LISTS!$F$8))*INT(LISTS!$F$7/(F50+LISTS!$F$8)),INT(LISTS!$F$6/(F50+LISTS!$F$8))*INT(LISTS!$F$7/(E50+LISTS!$F$8))))</f>
        <v/>
      </c>
      <c r="P50" s="19">
        <f>IF(K50&lt;&gt;"",K50,IF(OR(O50="",O50=0),"",IF(H50="",1,H50)/O50))</f>
        <v/>
      </c>
      <c r="Q50" s="36">
        <f>IF(OR(K50&lt;&gt;"",P50=""),"",1-(IF(H50="",1,H50)*E50*F50)/(ROUNDUP(P50,0)*LISTS!$F$6*LISTS!$F$7))</f>
        <v/>
      </c>
      <c r="R50" s="14">
        <f>IF(AND(E50="",K50=""),"",IF(B50="","panel type?",IF(AND(K50="",O50=0),"panel bigger than sheet",IF(AND(G50&lt;&gt;"",IFERROR(VALUE(MID(B50,5,FIND("-",B50,5)-5)),0)&lt;&gt;G50),"T must match panel type",IF(I50="","exposed faces?","OK")))))</f>
        <v/>
      </c>
      <c r="S50" s="12">
        <f t="array" ref="S50">IF(OR(B50="",P50=""),"",IFERROR(INDEX(RATES!$C:$C,MATCH(B50,RATES!$A:$A,0)),"rate?"))</f>
        <v/>
      </c>
      <c r="T50" s="12">
        <f>IF(ISNUMBER(S50),IF(K50&lt;&gt;"",K50,IF(Q50&gt;RATES!$C$97,P50*(1+RATES!$C$98),ROUNDUP(P50,0)))*S50,"")</f>
        <v/>
      </c>
    </row>
    <row r="51" ht="15.75" customHeight="1" s="59">
      <c r="A51" s="9" t="n">
        <v>6</v>
      </c>
      <c r="B51" s="10" t="inlineStr">
        <is>
          <t>PLY-12-RAW</t>
        </is>
      </c>
      <c r="C51" s="48" t="inlineStr">
        <is>
          <t>9 / B-12-0X</t>
        </is>
      </c>
      <c r="D51" s="10" t="inlineStr">
        <is>
          <t>Kotak Laci Muka &amp; Belakang</t>
        </is>
      </c>
      <c r="E51" s="10" t="n">
        <v>621</v>
      </c>
      <c r="F51" s="10" t="n">
        <v>140</v>
      </c>
      <c r="G51" s="10" t="n">
        <v>12</v>
      </c>
      <c r="H51" s="10" t="n">
        <v>12</v>
      </c>
      <c r="I51" s="10" t="n">
        <v>0</v>
      </c>
      <c r="J51" s="10" t="n"/>
      <c r="K51" s="10" t="n"/>
      <c r="L51" s="10" t="inlineStr">
        <is>
          <t>Part 9 / Code B-12-0X | Plywood 12mm RAW</t>
        </is>
      </c>
      <c r="M51" s="25">
        <f>IF(OR(E51="",F51="",G51=""),"",E51*F51*G51/1000000000*IF(H51="",1,H51))</f>
        <v/>
      </c>
      <c r="N51" s="19">
        <f>IF(OR(E51="",F51=""),"",E51*F51/1000000*IF(H51="",1,H51))</f>
        <v/>
      </c>
      <c r="O51" s="14">
        <f>IF(OR(E51="",F51=""),"",MAX(INT(LISTS!$F$6/(E51+LISTS!$F$8))*INT(LISTS!$F$7/(F51+LISTS!$F$8)),INT(LISTS!$F$6/(F51+LISTS!$F$8))*INT(LISTS!$F$7/(E51+LISTS!$F$8))))</f>
        <v/>
      </c>
      <c r="P51" s="19">
        <f>IF(K51&lt;&gt;"",K51,IF(OR(O51="",O51=0),"",IF(H51="",1,H51)/O51))</f>
        <v/>
      </c>
      <c r="Q51" s="36">
        <f>IF(OR(K51&lt;&gt;"",P51=""),"",1-(IF(H51="",1,H51)*E51*F51)/(ROUNDUP(P51,0)*LISTS!$F$6*LISTS!$F$7))</f>
        <v/>
      </c>
      <c r="R51" s="14">
        <f>IF(AND(E51="",K51=""),"",IF(B51="","panel type?",IF(AND(K51="",O51=0),"panel bigger than sheet",IF(AND(G51&lt;&gt;"",IFERROR(VALUE(MID(B51,5,FIND("-",B51,5)-5)),0)&lt;&gt;G51),"T must match panel type",IF(I51="","exposed faces?","OK")))))</f>
        <v/>
      </c>
      <c r="S51" s="12">
        <f t="array" ref="S51">IF(OR(B51="",P51=""),"",IFERROR(INDEX(RATES!$C:$C,MATCH(B51,RATES!$A:$A,0)),"rate?"))</f>
        <v/>
      </c>
      <c r="T51" s="12">
        <f>IF(ISNUMBER(S51),IF(K51&lt;&gt;"",K51,IF(Q51&gt;RATES!$C$97,P51*(1+RATES!$C$98),ROUNDUP(P51,0)))*S51,"")</f>
        <v/>
      </c>
    </row>
    <row r="52" ht="15.75" customHeight="1" s="59">
      <c r="A52" s="9" t="n">
        <v>7</v>
      </c>
      <c r="B52" s="10" t="inlineStr">
        <is>
          <t>PLY-6-RAW</t>
        </is>
      </c>
      <c r="C52" s="48" t="inlineStr">
        <is>
          <t>10 / B-6-0X</t>
        </is>
      </c>
      <c r="D52" s="10" t="inlineStr">
        <is>
          <t>Alas Dasar Laci (Drawer Bottom)</t>
        </is>
      </c>
      <c r="E52" s="10" t="n">
        <v>633</v>
      </c>
      <c r="F52" s="10" t="n">
        <v>338</v>
      </c>
      <c r="G52" s="10" t="n">
        <v>6</v>
      </c>
      <c r="H52" s="10" t="n">
        <v>6</v>
      </c>
      <c r="I52" s="10" t="n">
        <v>0</v>
      </c>
      <c r="J52" s="10" t="n"/>
      <c r="K52" s="10" t="n"/>
      <c r="L52" s="10" t="inlineStr">
        <is>
          <t>Part 10 / Code B-6-0X | Plywood 6mm RAW</t>
        </is>
      </c>
      <c r="M52" s="25">
        <f>IF(OR(E52="",F52="",G52=""),"",E52*F52*G52/1000000000*IF(H52="",1,H52))</f>
        <v/>
      </c>
      <c r="N52" s="19">
        <f>IF(OR(E52="",F52=""),"",E52*F52/1000000*IF(H52="",1,H52))</f>
        <v/>
      </c>
      <c r="O52" s="14">
        <f>IF(OR(E52="",F52=""),"",MAX(INT(LISTS!$F$6/(E52+LISTS!$F$8))*INT(LISTS!$F$7/(F52+LISTS!$F$8)),INT(LISTS!$F$6/(F52+LISTS!$F$8))*INT(LISTS!$F$7/(E52+LISTS!$F$8))))</f>
        <v/>
      </c>
      <c r="P52" s="19">
        <f>IF(K52&lt;&gt;"",K52,IF(OR(O52="",O52=0),"",IF(H52="",1,H52)/O52))</f>
        <v/>
      </c>
      <c r="Q52" s="36">
        <f>IF(OR(K52&lt;&gt;"",P52=""),"",1-(IF(H52="",1,H52)*E52*F52)/(ROUNDUP(P52,0)*LISTS!$F$6*LISTS!$F$7))</f>
        <v/>
      </c>
      <c r="R52" s="14">
        <f>IF(AND(E52="",K52=""),"",IF(B52="","panel type?",IF(AND(K52="",O52=0),"panel bigger than sheet",IF(AND(G52&lt;&gt;"",IFERROR(VALUE(MID(B52,5,FIND("-",B52,5)-5)),0)&lt;&gt;G52),"T must match panel type",IF(I52="","exposed faces?","OK")))))</f>
        <v/>
      </c>
      <c r="S52" s="12">
        <f t="array" ref="S52">IF(OR(B52="",P52=""),"",IFERROR(INDEX(RATES!$C:$C,MATCH(B52,RATES!$A:$A,0)),"rate?"))</f>
        <v/>
      </c>
      <c r="T52" s="12">
        <f>IF(ISNUMBER(S52),IF(K52&lt;&gt;"",K52,IF(Q52&gt;RATES!$C$97,P52*(1+RATES!$C$98),ROUNDUP(P52,0)))*S52,"")</f>
        <v/>
      </c>
    </row>
    <row r="53" ht="15.75" customHeight="1" s="59">
      <c r="A53" s="9" t="n">
        <v>8</v>
      </c>
      <c r="B53" s="10" t="n"/>
      <c r="C53" s="48" t="n"/>
      <c r="D53" s="10" t="n"/>
      <c r="E53" s="10" t="n"/>
      <c r="F53" s="10" t="n"/>
      <c r="G53" s="10" t="n"/>
      <c r="H53" s="10" t="n"/>
      <c r="I53" s="10" t="n"/>
      <c r="J53" s="10" t="n"/>
      <c r="K53" s="10" t="n"/>
      <c r="L53" s="10" t="n"/>
      <c r="M53" s="25">
        <f>IF(OR(E53="",F53="",G53=""),"",E53*F53*G53/1000000000*IF(H53="",1,H53))</f>
        <v/>
      </c>
      <c r="N53" s="19">
        <f>IF(OR(E53="",F53=""),"",E53*F53/1000000*IF(H53="",1,H53))</f>
        <v/>
      </c>
      <c r="O53" s="14">
        <f>IF(OR(E53="",F53=""),"",MAX(INT(LISTS!$F$6/(E53+LISTS!$F$8))*INT(LISTS!$F$7/(F53+LISTS!$F$8)),INT(LISTS!$F$6/(F53+LISTS!$F$8))*INT(LISTS!$F$7/(E53+LISTS!$F$8))))</f>
        <v/>
      </c>
      <c r="P53" s="19">
        <f>IF(K53&lt;&gt;"",K53,IF(OR(O53="",O53=0),"",IF(H53="",1,H53)/O53))</f>
        <v/>
      </c>
      <c r="Q53" s="36">
        <f>IF(OR(K53&lt;&gt;"",P53=""),"",1-(IF(H53="",1,H53)*E53*F53)/(ROUNDUP(P53,0)*LISTS!$F$6*LISTS!$F$7))</f>
        <v/>
      </c>
      <c r="R53" s="14">
        <f>IF(AND(E53="",K53=""),"",IF(B53="","panel type?",IF(AND(K53="",O53=0),"panel bigger than sheet",IF(AND(G53&lt;&gt;"",IFERROR(VALUE(MID(B53,5,FIND("-",B53,5)-5)),0)&lt;&gt;G53),"T must match panel type",IF(I53="","exposed faces?","OK")))))</f>
        <v/>
      </c>
      <c r="S53" s="12">
        <f t="array" ref="S53">IF(OR(B53="",P53=""),"",IFERROR(INDEX(RATES!$C:$C,MATCH(B53,RATES!$A:$A,0)),"rate?"))</f>
        <v/>
      </c>
      <c r="T53" s="12">
        <f>IF(ISNUMBER(S53),IF(K53&lt;&gt;"",K53,IF(Q53&gt;RATES!$C$97,P53*(1+RATES!$C$98),ROUNDUP(P53,0)))*S53,"")</f>
        <v/>
      </c>
    </row>
    <row r="54" ht="15.75" customHeight="1" s="59">
      <c r="A54" s="9" t="n">
        <v>9</v>
      </c>
      <c r="B54" s="10" t="n"/>
      <c r="C54" s="48" t="n"/>
      <c r="D54" s="10" t="n"/>
      <c r="E54" s="10" t="n"/>
      <c r="F54" s="10" t="n"/>
      <c r="G54" s="10" t="n"/>
      <c r="H54" s="10" t="n"/>
      <c r="I54" s="10" t="n"/>
      <c r="J54" s="10" t="n"/>
      <c r="K54" s="10" t="n"/>
      <c r="L54" s="10" t="n"/>
      <c r="M54" s="25">
        <f>IF(OR(E54="",F54="",G54=""),"",E54*F54*G54/1000000000*IF(H54="",1,H54))</f>
        <v/>
      </c>
      <c r="N54" s="19">
        <f>IF(OR(E54="",F54=""),"",E54*F54/1000000*IF(H54="",1,H54))</f>
        <v/>
      </c>
      <c r="O54" s="14">
        <f>IF(OR(E54="",F54=""),"",MAX(INT(LISTS!$F$6/(E54+LISTS!$F$8))*INT(LISTS!$F$7/(F54+LISTS!$F$8)),INT(LISTS!$F$6/(F54+LISTS!$F$8))*INT(LISTS!$F$7/(E54+LISTS!$F$8))))</f>
        <v/>
      </c>
      <c r="P54" s="19">
        <f>IF(K54&lt;&gt;"",K54,IF(OR(O54="",O54=0),"",IF(H54="",1,H54)/O54))</f>
        <v/>
      </c>
      <c r="Q54" s="36">
        <f>IF(OR(K54&lt;&gt;"",P54=""),"",1-(IF(H54="",1,H54)*E54*F54)/(ROUNDUP(P54,0)*LISTS!$F$6*LISTS!$F$7))</f>
        <v/>
      </c>
      <c r="R54" s="14">
        <f>IF(AND(E54="",K54=""),"",IF(B54="","panel type?",IF(AND(K54="",O54=0),"panel bigger than sheet",IF(AND(G54&lt;&gt;"",IFERROR(VALUE(MID(B54,5,FIND("-",B54,5)-5)),0)&lt;&gt;G54),"T must match panel type",IF(I54="","exposed faces?","OK")))))</f>
        <v/>
      </c>
      <c r="S54" s="12">
        <f t="array" ref="S54">IF(OR(B54="",P54=""),"",IFERROR(INDEX(RATES!$C:$C,MATCH(B54,RATES!$A:$A,0)),"rate?"))</f>
        <v/>
      </c>
      <c r="T54" s="12">
        <f>IF(ISNUMBER(S54),IF(K54&lt;&gt;"",K54,IF(Q54&gt;RATES!$C$97,P54*(1+RATES!$C$98),ROUNDUP(P54,0)))*S54,"")</f>
        <v/>
      </c>
    </row>
    <row r="55" ht="15.75" customHeight="1" s="59">
      <c r="A55" s="9" t="n">
        <v>10</v>
      </c>
      <c r="B55" s="10" t="n"/>
      <c r="C55" s="48" t="n"/>
      <c r="D55" s="10" t="n"/>
      <c r="E55" s="10" t="n"/>
      <c r="F55" s="10" t="n"/>
      <c r="G55" s="10" t="n"/>
      <c r="H55" s="10" t="n"/>
      <c r="I55" s="10" t="n"/>
      <c r="J55" s="10" t="n"/>
      <c r="K55" s="10" t="n"/>
      <c r="L55" s="10" t="n"/>
      <c r="M55" s="25">
        <f>IF(OR(E55="",F55="",G55=""),"",E55*F55*G55/1000000000*IF(H55="",1,H55))</f>
        <v/>
      </c>
      <c r="N55" s="19">
        <f>IF(OR(E55="",F55=""),"",E55*F55/1000000*IF(H55="",1,H55))</f>
        <v/>
      </c>
      <c r="O55" s="14">
        <f>IF(OR(E55="",F55=""),"",MAX(INT(LISTS!$F$6/(E55+LISTS!$F$8))*INT(LISTS!$F$7/(F55+LISTS!$F$8)),INT(LISTS!$F$6/(F55+LISTS!$F$8))*INT(LISTS!$F$7/(E55+LISTS!$F$8))))</f>
        <v/>
      </c>
      <c r="P55" s="19">
        <f>IF(K55&lt;&gt;"",K55,IF(OR(O55="",O55=0),"",IF(H55="",1,H55)/O55))</f>
        <v/>
      </c>
      <c r="Q55" s="36">
        <f>IF(OR(K55&lt;&gt;"",P55=""),"",1-(IF(H55="",1,H55)*E55*F55)/(ROUNDUP(P55,0)*LISTS!$F$6*LISTS!$F$7))</f>
        <v/>
      </c>
      <c r="R55" s="14">
        <f>IF(AND(E55="",K55=""),"",IF(B55="","panel type?",IF(AND(K55="",O55=0),"panel bigger than sheet",IF(AND(G55&lt;&gt;"",IFERROR(VALUE(MID(B55,5,FIND("-",B55,5)-5)),0)&lt;&gt;G55),"T must match panel type",IF(I55="","exposed faces?","OK")))))</f>
        <v/>
      </c>
      <c r="S55" s="12">
        <f t="array" ref="S55">IF(OR(B55="",P55=""),"",IFERROR(INDEX(RATES!$C:$C,MATCH(B55,RATES!$A:$A,0)),"rate?"))</f>
        <v/>
      </c>
      <c r="T55" s="12">
        <f>IF(ISNUMBER(S55),IF(K55&lt;&gt;"",K55,IF(Q55&gt;RATES!$C$97,P55*(1+RATES!$C$98),ROUNDUP(P55,0)))*S55,"")</f>
        <v/>
      </c>
    </row>
    <row r="56" ht="15.75" customHeight="1" s="59">
      <c r="A56" s="9" t="n">
        <v>11</v>
      </c>
      <c r="B56" s="10" t="n"/>
      <c r="C56" s="48" t="n"/>
      <c r="D56" s="10" t="n"/>
      <c r="E56" s="10" t="n"/>
      <c r="F56" s="10" t="n"/>
      <c r="G56" s="10" t="n"/>
      <c r="H56" s="10" t="n"/>
      <c r="I56" s="10" t="n"/>
      <c r="J56" s="10" t="n"/>
      <c r="K56" s="10" t="n"/>
      <c r="L56" s="10" t="n"/>
      <c r="M56" s="25">
        <f>IF(OR(E56="",F56="",G56=""),"",E56*F56*G56/1000000000*IF(H56="",1,H56))</f>
        <v/>
      </c>
      <c r="N56" s="19">
        <f>IF(OR(E56="",F56=""),"",E56*F56/1000000*IF(H56="",1,H56))</f>
        <v/>
      </c>
      <c r="O56" s="14">
        <f>IF(OR(E56="",F56=""),"",MAX(INT(LISTS!$F$6/(E56+LISTS!$F$8))*INT(LISTS!$F$7/(F56+LISTS!$F$8)),INT(LISTS!$F$6/(F56+LISTS!$F$8))*INT(LISTS!$F$7/(E56+LISTS!$F$8))))</f>
        <v/>
      </c>
      <c r="P56" s="19">
        <f>IF(K56&lt;&gt;"",K56,IF(OR(O56="",O56=0),"",IF(H56="",1,H56)/O56))</f>
        <v/>
      </c>
      <c r="Q56" s="36">
        <f>IF(OR(K56&lt;&gt;"",P56=""),"",1-(IF(H56="",1,H56)*E56*F56)/(ROUNDUP(P56,0)*LISTS!$F$6*LISTS!$F$7))</f>
        <v/>
      </c>
      <c r="R56" s="14">
        <f>IF(AND(E56="",K56=""),"",IF(B56="","panel type?",IF(AND(K56="",O56=0),"panel bigger than sheet",IF(AND(G56&lt;&gt;"",IFERROR(VALUE(MID(B56,5,FIND("-",B56,5)-5)),0)&lt;&gt;G56),"T must match panel type",IF(I56="","exposed faces?","OK")))))</f>
        <v/>
      </c>
      <c r="S56" s="12">
        <f t="array" ref="S56">IF(OR(B56="",P56=""),"",IFERROR(INDEX(RATES!$C:$C,MATCH(B56,RATES!$A:$A,0)),"rate?"))</f>
        <v/>
      </c>
      <c r="T56" s="12">
        <f>IF(ISNUMBER(S56),IF(K56&lt;&gt;"",K56,IF(Q56&gt;RATES!$C$97,P56*(1+RATES!$C$98),ROUNDUP(P56,0)))*S56,"")</f>
        <v/>
      </c>
    </row>
    <row r="57" ht="15.75" customHeight="1" s="59">
      <c r="A57" s="9" t="n">
        <v>12</v>
      </c>
      <c r="B57" s="10" t="n"/>
      <c r="C57" s="48" t="n"/>
      <c r="D57" s="10" t="n"/>
      <c r="E57" s="10" t="n"/>
      <c r="F57" s="10" t="n"/>
      <c r="G57" s="10" t="n"/>
      <c r="H57" s="10" t="n"/>
      <c r="I57" s="10" t="n"/>
      <c r="J57" s="10" t="n"/>
      <c r="K57" s="10" t="n"/>
      <c r="L57" s="10" t="n"/>
      <c r="M57" s="25">
        <f>IF(OR(E57="",F57="",G57=""),"",E57*F57*G57/1000000000*IF(H57="",1,H57))</f>
        <v/>
      </c>
      <c r="N57" s="19">
        <f>IF(OR(E57="",F57=""),"",E57*F57/1000000*IF(H57="",1,H57))</f>
        <v/>
      </c>
      <c r="O57" s="14">
        <f>IF(OR(E57="",F57=""),"",MAX(INT(LISTS!$F$6/(E57+LISTS!$F$8))*INT(LISTS!$F$7/(F57+LISTS!$F$8)),INT(LISTS!$F$6/(F57+LISTS!$F$8))*INT(LISTS!$F$7/(E57+LISTS!$F$8))))</f>
        <v/>
      </c>
      <c r="P57" s="19">
        <f>IF(K57&lt;&gt;"",K57,IF(OR(O57="",O57=0),"",IF(H57="",1,H57)/O57))</f>
        <v/>
      </c>
      <c r="Q57" s="36">
        <f>IF(OR(K57&lt;&gt;"",P57=""),"",1-(IF(H57="",1,H57)*E57*F57)/(ROUNDUP(P57,0)*LISTS!$F$6*LISTS!$F$7))</f>
        <v/>
      </c>
      <c r="R57" s="14">
        <f>IF(AND(E57="",K57=""),"",IF(B57="","panel type?",IF(AND(K57="",O57=0),"panel bigger than sheet",IF(AND(G57&lt;&gt;"",IFERROR(VALUE(MID(B57,5,FIND("-",B57,5)-5)),0)&lt;&gt;G57),"T must match panel type",IF(I57="","exposed faces?","OK")))))</f>
        <v/>
      </c>
      <c r="S57" s="12">
        <f t="array" ref="S57">IF(OR(B57="",P57=""),"",IFERROR(INDEX(RATES!$C:$C,MATCH(B57,RATES!$A:$A,0)),"rate?"))</f>
        <v/>
      </c>
      <c r="T57" s="12">
        <f>IF(ISNUMBER(S57),IF(K57&lt;&gt;"",K57,IF(Q57&gt;RATES!$C$97,P57*(1+RATES!$C$98),ROUNDUP(P57,0)))*S57,"")</f>
        <v/>
      </c>
    </row>
    <row r="58" ht="15.75" customHeight="1" s="59">
      <c r="A58" s="9" t="n">
        <v>13</v>
      </c>
      <c r="B58" s="10" t="n"/>
      <c r="C58" s="48" t="n"/>
      <c r="D58" s="10" t="n"/>
      <c r="E58" s="10" t="n"/>
      <c r="F58" s="10" t="n"/>
      <c r="G58" s="10" t="n"/>
      <c r="H58" s="10" t="n"/>
      <c r="I58" s="10" t="n"/>
      <c r="J58" s="10" t="n"/>
      <c r="K58" s="10" t="n"/>
      <c r="L58" s="10" t="n"/>
      <c r="M58" s="25">
        <f>IF(OR(E58="",F58="",G58=""),"",E58*F58*G58/1000000000*IF(H58="",1,H58))</f>
        <v/>
      </c>
      <c r="N58" s="19">
        <f>IF(OR(E58="",F58=""),"",E58*F58/1000000*IF(H58="",1,H58))</f>
        <v/>
      </c>
      <c r="O58" s="14">
        <f>IF(OR(E58="",F58=""),"",MAX(INT(LISTS!$F$6/(E58+LISTS!$F$8))*INT(LISTS!$F$7/(F58+LISTS!$F$8)),INT(LISTS!$F$6/(F58+LISTS!$F$8))*INT(LISTS!$F$7/(E58+LISTS!$F$8))))</f>
        <v/>
      </c>
      <c r="P58" s="19">
        <f>IF(K58&lt;&gt;"",K58,IF(OR(O58="",O58=0),"",IF(H58="",1,H58)/O58))</f>
        <v/>
      </c>
      <c r="Q58" s="36">
        <f>IF(OR(K58&lt;&gt;"",P58=""),"",1-(IF(H58="",1,H58)*E58*F58)/(ROUNDUP(P58,0)*LISTS!$F$6*LISTS!$F$7))</f>
        <v/>
      </c>
      <c r="R58" s="14">
        <f>IF(AND(E58="",K58=""),"",IF(B58="","panel type?",IF(AND(K58="",O58=0),"panel bigger than sheet",IF(AND(G58&lt;&gt;"",IFERROR(VALUE(MID(B58,5,FIND("-",B58,5)-5)),0)&lt;&gt;G58),"T must match panel type",IF(I58="","exposed faces?","OK")))))</f>
        <v/>
      </c>
      <c r="S58" s="12">
        <f t="array" ref="S58">IF(OR(B58="",P58=""),"",IFERROR(INDEX(RATES!$C:$C,MATCH(B58,RATES!$A:$A,0)),"rate?"))</f>
        <v/>
      </c>
      <c r="T58" s="12">
        <f>IF(ISNUMBER(S58),IF(K58&lt;&gt;"",K58,IF(Q58&gt;RATES!$C$97,P58*(1+RATES!$C$98),ROUNDUP(P58,0)))*S58,"")</f>
        <v/>
      </c>
    </row>
    <row r="59" ht="15.75" customHeight="1" s="59">
      <c r="A59" s="9" t="n">
        <v>14</v>
      </c>
      <c r="B59" s="10" t="n"/>
      <c r="C59" s="48" t="n"/>
      <c r="D59" s="10" t="n"/>
      <c r="E59" s="10" t="n"/>
      <c r="F59" s="10" t="n"/>
      <c r="G59" s="10" t="n"/>
      <c r="H59" s="10" t="n"/>
      <c r="I59" s="10" t="n"/>
      <c r="J59" s="10" t="n"/>
      <c r="K59" s="10" t="n"/>
      <c r="L59" s="10" t="n"/>
      <c r="M59" s="25">
        <f>IF(OR(E59="",F59="",G59=""),"",E59*F59*G59/1000000000*IF(H59="",1,H59))</f>
        <v/>
      </c>
      <c r="N59" s="19">
        <f>IF(OR(E59="",F59=""),"",E59*F59/1000000*IF(H59="",1,H59))</f>
        <v/>
      </c>
      <c r="O59" s="14">
        <f>IF(OR(E59="",F59=""),"",MAX(INT(LISTS!$F$6/(E59+LISTS!$F$8))*INT(LISTS!$F$7/(F59+LISTS!$F$8)),INT(LISTS!$F$6/(F59+LISTS!$F$8))*INT(LISTS!$F$7/(E59+LISTS!$F$8))))</f>
        <v/>
      </c>
      <c r="P59" s="19">
        <f>IF(K59&lt;&gt;"",K59,IF(OR(O59="",O59=0),"",IF(H59="",1,H59)/O59))</f>
        <v/>
      </c>
      <c r="Q59" s="36">
        <f>IF(OR(K59&lt;&gt;"",P59=""),"",1-(IF(H59="",1,H59)*E59*F59)/(ROUNDUP(P59,0)*LISTS!$F$6*LISTS!$F$7))</f>
        <v/>
      </c>
      <c r="R59" s="14">
        <f>IF(AND(E59="",K59=""),"",IF(B59="","panel type?",IF(AND(K59="",O59=0),"panel bigger than sheet",IF(AND(G59&lt;&gt;"",IFERROR(VALUE(MID(B59,5,FIND("-",B59,5)-5)),0)&lt;&gt;G59),"T must match panel type",IF(I59="","exposed faces?","OK")))))</f>
        <v/>
      </c>
      <c r="S59" s="12">
        <f t="array" ref="S59">IF(OR(B59="",P59=""),"",IFERROR(INDEX(RATES!$C:$C,MATCH(B59,RATES!$A:$A,0)),"rate?"))</f>
        <v/>
      </c>
      <c r="T59" s="12">
        <f>IF(ISNUMBER(S59),IF(K59&lt;&gt;"",K59,IF(Q59&gt;RATES!$C$97,P59*(1+RATES!$C$98),ROUNDUP(P59,0)))*S59,"")</f>
        <v/>
      </c>
    </row>
    <row r="60" ht="15.75" customHeight="1" s="59">
      <c r="A60" s="9" t="n">
        <v>15</v>
      </c>
      <c r="B60" s="10" t="n"/>
      <c r="C60" s="48" t="n"/>
      <c r="D60" s="10" t="n"/>
      <c r="E60" s="10" t="n"/>
      <c r="F60" s="10" t="n"/>
      <c r="G60" s="10" t="n"/>
      <c r="H60" s="10" t="n"/>
      <c r="I60" s="10" t="n"/>
      <c r="J60" s="10" t="n"/>
      <c r="K60" s="10" t="n"/>
      <c r="L60" s="10" t="n"/>
      <c r="M60" s="25">
        <f>IF(OR(E60="",F60="",G60=""),"",E60*F60*G60/1000000000*IF(H60="",1,H60))</f>
        <v/>
      </c>
      <c r="N60" s="19">
        <f>IF(OR(E60="",F60=""),"",E60*F60/1000000*IF(H60="",1,H60))</f>
        <v/>
      </c>
      <c r="O60" s="14">
        <f>IF(OR(E60="",F60=""),"",MAX(INT(LISTS!$F$6/(E60+LISTS!$F$8))*INT(LISTS!$F$7/(F60+LISTS!$F$8)),INT(LISTS!$F$6/(F60+LISTS!$F$8))*INT(LISTS!$F$7/(E60+LISTS!$F$8))))</f>
        <v/>
      </c>
      <c r="P60" s="19">
        <f>IF(K60&lt;&gt;"",K60,IF(OR(O60="",O60=0),"",IF(H60="",1,H60)/O60))</f>
        <v/>
      </c>
      <c r="Q60" s="36">
        <f>IF(OR(K60&lt;&gt;"",P60=""),"",1-(IF(H60="",1,H60)*E60*F60)/(ROUNDUP(P60,0)*LISTS!$F$6*LISTS!$F$7))</f>
        <v/>
      </c>
      <c r="R60" s="14">
        <f>IF(AND(E60="",K60=""),"",IF(B60="","panel type?",IF(AND(K60="",O60=0),"panel bigger than sheet",IF(AND(G60&lt;&gt;"",IFERROR(VALUE(MID(B60,5,FIND("-",B60,5)-5)),0)&lt;&gt;G60),"T must match panel type",IF(I60="","exposed faces?","OK")))))</f>
        <v/>
      </c>
      <c r="S60" s="12">
        <f t="array" ref="S60">IF(OR(B60="",P60=""),"",IFERROR(INDEX(RATES!$C:$C,MATCH(B60,RATES!$A:$A,0)),"rate?"))</f>
        <v/>
      </c>
      <c r="T60" s="12">
        <f>IF(ISNUMBER(S60),IF(K60&lt;&gt;"",K60,IF(Q60&gt;RATES!$C$97,P60*(1+RATES!$C$98),ROUNDUP(P60,0)))*S60,"")</f>
        <v/>
      </c>
    </row>
    <row r="61" ht="15.75" customHeight="1" s="59"/>
    <row r="62" ht="15.75" customHeight="1" s="59">
      <c r="A62" s="5" t="inlineStr">
        <is>
          <t>HARDWARE &amp; BOUGHT-IN: runners, hinges, handles, metal frames, rattan, glass, mirror, fabric, foam, outside labour. ENTER UNIT PRICE IDR.</t>
        </is>
      </c>
    </row>
    <row r="63" ht="31.5" customHeight="1" s="59">
      <c r="A63" s="8" t="inlineStr">
        <is>
          <t>NO</t>
        </is>
      </c>
      <c r="B63" s="8" t="inlineStr">
        <is>
          <t>ITEM MASTER CODE</t>
        </is>
      </c>
      <c r="C63" s="47" t="inlineStr">
        <is>
          <t>LABEL</t>
        </is>
      </c>
      <c r="D63" s="8" t="inlineStr">
        <is>
          <t>DESCRIPTION</t>
        </is>
      </c>
      <c r="E63" s="8" t="inlineStr">
        <is>
          <t>VENDOR</t>
        </is>
      </c>
      <c r="F63" s="8" t="n"/>
      <c r="G63" s="8" t="n"/>
      <c r="H63" s="8" t="inlineStr">
        <is>
          <t>QTY</t>
        </is>
      </c>
      <c r="I63" s="8" t="inlineStr">
        <is>
          <t>UOM</t>
        </is>
      </c>
      <c r="J63" s="8" t="n"/>
      <c r="K63" s="8" t="n"/>
      <c r="L63" s="8" t="inlineStr">
        <is>
          <t>LINK / NOTE</t>
        </is>
      </c>
      <c r="M63" s="8" t="n"/>
      <c r="N63" s="8" t="n"/>
      <c r="O63" s="8" t="n"/>
      <c r="P63" s="8" t="n"/>
      <c r="Q63" s="8" t="n"/>
      <c r="R63" s="8" t="n"/>
      <c r="S63" s="8" t="inlineStr">
        <is>
          <t>UNIT PRICE IDR</t>
        </is>
      </c>
      <c r="T63" s="8" t="inlineStr">
        <is>
          <t>LINE TOTAL (calc)</t>
        </is>
      </c>
    </row>
    <row r="64" ht="15.75" customHeight="1" s="59">
      <c r="A64" s="9" t="n">
        <v>1</v>
      </c>
      <c r="B64" s="10" t="inlineStr">
        <is>
          <t>HARDWARE</t>
        </is>
      </c>
      <c r="C64" s="48" t="inlineStr">
        <is>
          <t>D2 / DTC-14</t>
        </is>
      </c>
      <c r="D64" s="10" t="inlineStr">
        <is>
          <t>Rel laci DTC soft close 14" (356 mm)</t>
        </is>
      </c>
      <c r="E64" s="10" t="inlineStr">
        <is>
          <t>Sukey / DTC</t>
        </is>
      </c>
      <c r="F64" s="67" t="n"/>
      <c r="G64" s="68" t="n"/>
      <c r="H64" s="10" t="n">
        <v>6</v>
      </c>
      <c r="I64" s="10" t="inlineStr">
        <is>
          <t>set</t>
        </is>
      </c>
      <c r="J64" s="10" t="n"/>
      <c r="K64" s="10" t="n"/>
      <c r="L64" s="10" t="inlineStr">
        <is>
          <t>Part D2 / Code D2 | Rel laci DTC soft close 14"</t>
        </is>
      </c>
      <c r="M64" s="67" t="n"/>
      <c r="N64" s="67" t="n"/>
      <c r="O64" s="67" t="n"/>
      <c r="P64" s="67" t="n"/>
      <c r="Q64" s="67" t="n"/>
      <c r="R64" s="68" t="n"/>
      <c r="S64" s="37" t="n">
        <v>61396.2</v>
      </c>
      <c r="T64" s="38">
        <f>IF(OR(H64="",S64=""),"",H64*S64)</f>
        <v/>
      </c>
    </row>
    <row r="65" ht="15.75" customHeight="1" s="59">
      <c r="A65" s="9" t="n">
        <v>2</v>
      </c>
      <c r="B65" s="10" t="inlineStr">
        <is>
          <t>BOUGHT-IN</t>
        </is>
      </c>
      <c r="C65" s="48" t="inlineStr">
        <is>
          <t>ROTAN / SQ</t>
        </is>
      </c>
      <c r="D65" s="10" t="inlineStr">
        <is>
          <t>Anyaman Rotan Kotak Alami (Square Cane Mesh)</t>
        </is>
      </c>
      <c r="E65" s="10" t="inlineStr">
        <is>
          <t>Lokal</t>
        </is>
      </c>
      <c r="F65" s="67" t="n"/>
      <c r="G65" s="68" t="n"/>
      <c r="H65" s="10" t="n">
        <v>1.5</v>
      </c>
      <c r="I65" s="10" t="inlineStr">
        <is>
          <t>m lari</t>
        </is>
      </c>
      <c r="J65" s="10" t="n"/>
      <c r="K65" s="10" t="n"/>
      <c r="L65" s="10" t="inlineStr">
        <is>
          <t>Inlay Muka Laci | Anyaman Rotan Kotak Alami</t>
        </is>
      </c>
      <c r="M65" s="67" t="n"/>
      <c r="N65" s="67" t="n"/>
      <c r="O65" s="67" t="n"/>
      <c r="P65" s="67" t="n"/>
      <c r="Q65" s="67" t="n"/>
      <c r="R65" s="68" t="n"/>
      <c r="S65" s="37" t="n">
        <v>160000</v>
      </c>
      <c r="T65" s="38">
        <f>IF(OR(H65="",S65=""),"",H65*S65)</f>
        <v/>
      </c>
    </row>
    <row r="66" ht="15.75" customHeight="1" s="59">
      <c r="A66" s="9" t="n">
        <v>3</v>
      </c>
      <c r="B66" s="10" t="inlineStr">
        <is>
          <t>HARDWARE</t>
        </is>
      </c>
      <c r="C66" s="48" t="inlineStr">
        <is>
          <t>HNDL / 128MM</t>
        </is>
      </c>
      <c r="D66" s="10" t="inlineStr">
        <is>
          <t>Handle, solid brass / custom wood 128 mm</t>
        </is>
      </c>
      <c r="E66" s="10" t="inlineStr">
        <is>
          <t>Lokal</t>
        </is>
      </c>
      <c r="F66" s="67" t="n"/>
      <c r="G66" s="68" t="n"/>
      <c r="H66" s="10" t="n">
        <v>6</v>
      </c>
      <c r="I66" s="10" t="inlineStr">
        <is>
          <t>pcs</t>
        </is>
      </c>
      <c r="J66" s="10" t="n"/>
      <c r="K66" s="10" t="n"/>
      <c r="L66" s="10" t="inlineStr">
        <is>
          <t>Handle, solid brass / custom wood 128 mm</t>
        </is>
      </c>
      <c r="M66" s="67" t="n"/>
      <c r="N66" s="67" t="n"/>
      <c r="O66" s="67" t="n"/>
      <c r="P66" s="67" t="n"/>
      <c r="Q66" s="67" t="n"/>
      <c r="R66" s="68" t="n"/>
      <c r="S66" s="37" t="n">
        <v>25000</v>
      </c>
      <c r="T66" s="38">
        <f>IF(OR(H66="",S66=""),"",H66*S66)</f>
        <v/>
      </c>
    </row>
    <row r="67" ht="15.75" customHeight="1" s="59">
      <c r="A67" s="9" t="n">
        <v>4</v>
      </c>
      <c r="B67" s="10" t="inlineStr">
        <is>
          <t>HARDWARE</t>
        </is>
      </c>
      <c r="C67" s="48" t="inlineStr">
        <is>
          <t>GLIDES / 25MM</t>
        </is>
      </c>
      <c r="D67" s="10" t="inlineStr">
        <is>
          <t>Nylon glides 25 mm</t>
        </is>
      </c>
      <c r="E67" s="10" t="inlineStr">
        <is>
          <t>Lokal</t>
        </is>
      </c>
      <c r="F67" s="67" t="n"/>
      <c r="G67" s="68" t="n"/>
      <c r="H67" s="10" t="n">
        <v>6</v>
      </c>
      <c r="I67" s="10" t="inlineStr">
        <is>
          <t>pcs</t>
        </is>
      </c>
      <c r="J67" s="10" t="n"/>
      <c r="K67" s="10" t="n"/>
      <c r="L67" s="10" t="inlineStr">
        <is>
          <t>Nylon glides 25 mm</t>
        </is>
      </c>
      <c r="M67" s="67" t="n"/>
      <c r="N67" s="67" t="n"/>
      <c r="O67" s="67" t="n"/>
      <c r="P67" s="67" t="n"/>
      <c r="Q67" s="67" t="n"/>
      <c r="R67" s="68" t="n"/>
      <c r="S67" s="37" t="n">
        <v>3500</v>
      </c>
      <c r="T67" s="38">
        <f>IF(OR(H67="",S67=""),"",H67*S67)</f>
        <v/>
      </c>
    </row>
    <row r="68" ht="15.75" customHeight="1" s="59">
      <c r="A68" s="9" t="n">
        <v>5</v>
      </c>
      <c r="B68" s="10" t="n"/>
      <c r="C68" s="48" t="n"/>
      <c r="D68" s="10" t="n"/>
      <c r="E68" s="10" t="n"/>
      <c r="F68" s="67" t="n"/>
      <c r="G68" s="68" t="n"/>
      <c r="H68" s="10" t="n"/>
      <c r="I68" s="10" t="n"/>
      <c r="J68" s="10" t="n"/>
      <c r="K68" s="10" t="n"/>
      <c r="L68" s="10" t="n"/>
      <c r="M68" s="67" t="n"/>
      <c r="N68" s="67" t="n"/>
      <c r="O68" s="67" t="n"/>
      <c r="P68" s="67" t="n"/>
      <c r="Q68" s="67" t="n"/>
      <c r="R68" s="68" t="n"/>
      <c r="S68" s="37" t="n"/>
      <c r="T68" s="38">
        <f>IF(OR(H68="",S68=""),"",H68*S68)</f>
        <v/>
      </c>
    </row>
    <row r="69" ht="15.75" customHeight="1" s="59">
      <c r="A69" s="9" t="n">
        <v>6</v>
      </c>
      <c r="B69" s="10" t="n"/>
      <c r="C69" s="48" t="n"/>
      <c r="D69" s="10" t="n"/>
      <c r="E69" s="10" t="n"/>
      <c r="F69" s="67" t="n"/>
      <c r="G69" s="68" t="n"/>
      <c r="H69" s="10" t="n"/>
      <c r="I69" s="10" t="n"/>
      <c r="J69" s="10" t="n"/>
      <c r="K69" s="10" t="n"/>
      <c r="L69" s="10" t="n"/>
      <c r="M69" s="67" t="n"/>
      <c r="N69" s="67" t="n"/>
      <c r="O69" s="67" t="n"/>
      <c r="P69" s="67" t="n"/>
      <c r="Q69" s="67" t="n"/>
      <c r="R69" s="68" t="n"/>
      <c r="S69" s="37" t="n"/>
      <c r="T69" s="38">
        <f>IF(OR(H69="",S69=""),"",H69*S69)</f>
        <v/>
      </c>
    </row>
    <row r="70" ht="15.75" customHeight="1" s="59">
      <c r="A70" s="9" t="n">
        <v>7</v>
      </c>
      <c r="B70" s="10" t="n"/>
      <c r="C70" s="48" t="n"/>
      <c r="D70" s="10" t="n"/>
      <c r="E70" s="10" t="n"/>
      <c r="F70" s="67" t="n"/>
      <c r="G70" s="68" t="n"/>
      <c r="H70" s="10" t="n"/>
      <c r="I70" s="10" t="n"/>
      <c r="J70" s="10" t="n"/>
      <c r="K70" s="10" t="n"/>
      <c r="L70" s="10" t="n"/>
      <c r="M70" s="67" t="n"/>
      <c r="N70" s="67" t="n"/>
      <c r="O70" s="67" t="n"/>
      <c r="P70" s="67" t="n"/>
      <c r="Q70" s="67" t="n"/>
      <c r="R70" s="68" t="n"/>
      <c r="S70" s="37" t="n"/>
      <c r="T70" s="38">
        <f>IF(OR(H70="",S70=""),"",H70*S70)</f>
        <v/>
      </c>
    </row>
    <row r="71" ht="15.75" customHeight="1" s="59">
      <c r="A71" s="9" t="n">
        <v>8</v>
      </c>
      <c r="B71" s="10" t="n"/>
      <c r="C71" s="48" t="n"/>
      <c r="D71" s="10" t="n"/>
      <c r="E71" s="10" t="n"/>
      <c r="F71" s="67" t="n"/>
      <c r="G71" s="68" t="n"/>
      <c r="H71" s="10" t="n"/>
      <c r="I71" s="10" t="n"/>
      <c r="J71" s="10" t="n"/>
      <c r="K71" s="10" t="n"/>
      <c r="L71" s="10" t="n"/>
      <c r="M71" s="67" t="n"/>
      <c r="N71" s="67" t="n"/>
      <c r="O71" s="67" t="n"/>
      <c r="P71" s="67" t="n"/>
      <c r="Q71" s="67" t="n"/>
      <c r="R71" s="68" t="n"/>
      <c r="S71" s="37" t="n"/>
      <c r="T71" s="38">
        <f>IF(OR(H71="",S71=""),"",H71*S71)</f>
        <v/>
      </c>
    </row>
    <row r="72" ht="15.75" customHeight="1" s="59">
      <c r="A72" s="9" t="n">
        <v>9</v>
      </c>
      <c r="B72" s="10" t="n"/>
      <c r="C72" s="48" t="n"/>
      <c r="D72" s="10" t="n"/>
      <c r="E72" s="10" t="n"/>
      <c r="F72" s="67" t="n"/>
      <c r="G72" s="68" t="n"/>
      <c r="H72" s="10" t="n"/>
      <c r="I72" s="10" t="n"/>
      <c r="J72" s="10" t="n"/>
      <c r="K72" s="10" t="n"/>
      <c r="L72" s="10" t="n"/>
      <c r="M72" s="67" t="n"/>
      <c r="N72" s="67" t="n"/>
      <c r="O72" s="67" t="n"/>
      <c r="P72" s="67" t="n"/>
      <c r="Q72" s="67" t="n"/>
      <c r="R72" s="68" t="n"/>
      <c r="S72" s="37" t="n"/>
      <c r="T72" s="38">
        <f>IF(OR(H72="",S72=""),"",H72*S72)</f>
        <v/>
      </c>
    </row>
    <row r="73" ht="15.75" customHeight="1" s="59">
      <c r="A73" s="9" t="n">
        <v>10</v>
      </c>
      <c r="B73" s="10" t="n"/>
      <c r="C73" s="48" t="n"/>
      <c r="D73" s="10" t="n"/>
      <c r="E73" s="10" t="n"/>
      <c r="F73" s="67" t="n"/>
      <c r="G73" s="68" t="n"/>
      <c r="H73" s="10" t="n"/>
      <c r="I73" s="10" t="n"/>
      <c r="J73" s="10" t="n"/>
      <c r="K73" s="10" t="n"/>
      <c r="L73" s="10" t="n"/>
      <c r="M73" s="67" t="n"/>
      <c r="N73" s="67" t="n"/>
      <c r="O73" s="67" t="n"/>
      <c r="P73" s="67" t="n"/>
      <c r="Q73" s="67" t="n"/>
      <c r="R73" s="68" t="n"/>
      <c r="S73" s="37" t="n"/>
      <c r="T73" s="38">
        <f>IF(OR(H73="",S73=""),"",H73*S73)</f>
        <v/>
      </c>
    </row>
    <row r="74" ht="15.75" customHeight="1" s="59">
      <c r="A74" s="9" t="n">
        <v>11</v>
      </c>
      <c r="B74" s="10" t="n"/>
      <c r="C74" s="48" t="n"/>
      <c r="D74" s="10" t="n"/>
      <c r="E74" s="10" t="n"/>
      <c r="F74" s="67" t="n"/>
      <c r="G74" s="68" t="n"/>
      <c r="H74" s="10" t="n"/>
      <c r="I74" s="10" t="n"/>
      <c r="J74" s="10" t="n"/>
      <c r="K74" s="10" t="n"/>
      <c r="L74" s="10" t="n"/>
      <c r="M74" s="67" t="n"/>
      <c r="N74" s="67" t="n"/>
      <c r="O74" s="67" t="n"/>
      <c r="P74" s="67" t="n"/>
      <c r="Q74" s="67" t="n"/>
      <c r="R74" s="68" t="n"/>
      <c r="S74" s="37" t="n"/>
      <c r="T74" s="38">
        <f>IF(OR(H74="",S74=""),"",H74*S74)</f>
        <v/>
      </c>
    </row>
    <row r="75" ht="15.75" customHeight="1" s="59">
      <c r="A75" s="9" t="n">
        <v>12</v>
      </c>
      <c r="B75" s="10" t="n"/>
      <c r="C75" s="48" t="n"/>
      <c r="D75" s="10" t="n"/>
      <c r="E75" s="10" t="n"/>
      <c r="F75" s="67" t="n"/>
      <c r="G75" s="68" t="n"/>
      <c r="H75" s="10" t="n"/>
      <c r="I75" s="10" t="n"/>
      <c r="J75" s="10" t="n"/>
      <c r="K75" s="10" t="n"/>
      <c r="L75" s="10" t="n"/>
      <c r="M75" s="67" t="n"/>
      <c r="N75" s="67" t="n"/>
      <c r="O75" s="67" t="n"/>
      <c r="P75" s="67" t="n"/>
      <c r="Q75" s="67" t="n"/>
      <c r="R75" s="68" t="n"/>
      <c r="S75" s="37" t="n"/>
      <c r="T75" s="38">
        <f>IF(OR(H75="",S75=""),"",H75*S75)</f>
        <v/>
      </c>
    </row>
    <row r="76" ht="15.75" customHeight="1" s="59">
      <c r="A76" s="9" t="n">
        <v>13</v>
      </c>
      <c r="B76" s="10" t="n"/>
      <c r="C76" s="48" t="n"/>
      <c r="D76" s="10" t="n"/>
      <c r="E76" s="10" t="n"/>
      <c r="F76" s="67" t="n"/>
      <c r="G76" s="68" t="n"/>
      <c r="H76" s="10" t="n"/>
      <c r="I76" s="10" t="n"/>
      <c r="J76" s="10" t="n"/>
      <c r="K76" s="10" t="n"/>
      <c r="L76" s="10" t="n"/>
      <c r="M76" s="67" t="n"/>
      <c r="N76" s="67" t="n"/>
      <c r="O76" s="67" t="n"/>
      <c r="P76" s="67" t="n"/>
      <c r="Q76" s="67" t="n"/>
      <c r="R76" s="68" t="n"/>
      <c r="S76" s="37" t="n"/>
      <c r="T76" s="38">
        <f>IF(OR(H76="",S76=""),"",H76*S76)</f>
        <v/>
      </c>
    </row>
    <row r="77" ht="15.75" customHeight="1" s="59">
      <c r="A77" s="9" t="n">
        <v>14</v>
      </c>
      <c r="B77" s="10" t="n"/>
      <c r="C77" s="48" t="n"/>
      <c r="D77" s="10" t="n"/>
      <c r="E77" s="10" t="n"/>
      <c r="F77" s="67" t="n"/>
      <c r="G77" s="68" t="n"/>
      <c r="H77" s="10" t="n"/>
      <c r="I77" s="10" t="n"/>
      <c r="J77" s="10" t="n"/>
      <c r="K77" s="10" t="n"/>
      <c r="L77" s="10" t="n"/>
      <c r="M77" s="67" t="n"/>
      <c r="N77" s="67" t="n"/>
      <c r="O77" s="67" t="n"/>
      <c r="P77" s="67" t="n"/>
      <c r="Q77" s="67" t="n"/>
      <c r="R77" s="68" t="n"/>
      <c r="S77" s="37" t="n"/>
      <c r="T77" s="38">
        <f>IF(OR(H77="",S77=""),"",H77*S77)</f>
        <v/>
      </c>
    </row>
    <row r="78" ht="15.75" customHeight="1" s="59">
      <c r="A78" s="9" t="n">
        <v>15</v>
      </c>
      <c r="B78" s="10" t="n"/>
      <c r="C78" s="48" t="n"/>
      <c r="D78" s="10" t="n"/>
      <c r="E78" s="10" t="n"/>
      <c r="F78" s="67" t="n"/>
      <c r="G78" s="68" t="n"/>
      <c r="H78" s="10" t="n"/>
      <c r="I78" s="10" t="n"/>
      <c r="J78" s="10" t="n"/>
      <c r="K78" s="10" t="n"/>
      <c r="L78" s="10" t="n"/>
      <c r="M78" s="67" t="n"/>
      <c r="N78" s="67" t="n"/>
      <c r="O78" s="67" t="n"/>
      <c r="P78" s="67" t="n"/>
      <c r="Q78" s="67" t="n"/>
      <c r="R78" s="68" t="n"/>
      <c r="S78" s="37" t="n"/>
      <c r="T78" s="38">
        <f>IF(OR(H78="",S78=""),"",H78*S78)</f>
        <v/>
      </c>
    </row>
    <row r="79" ht="15.75" customHeight="1" s="59"/>
    <row r="80" ht="15.75" customHeight="1" s="59"/>
    <row r="81" ht="15.75" customHeight="1" s="59">
      <c r="A81" s="5" t="inlineStr">
        <is>
          <t>SUMMARY (system): cost per ONE item, from the RATES tab. Do not type here.</t>
        </is>
      </c>
      <c r="E81" t="inlineStr">
        <is>
          <t>COST USD (system)</t>
        </is>
      </c>
    </row>
    <row r="82" ht="15.75" customHeight="1" s="59">
      <c r="C82" s="5" t="inlineStr">
        <is>
          <t>Solid wood m³</t>
        </is>
      </c>
      <c r="D82" s="25">
        <f>SUM(M18:M42)</f>
        <v/>
      </c>
    </row>
    <row r="83" ht="15.75" customHeight="1" s="59">
      <c r="C83" s="5" t="inlineStr">
        <is>
          <t>Panel sheets</t>
        </is>
      </c>
      <c r="D83" s="17">
        <f>SUM(P46:P60)</f>
        <v/>
      </c>
    </row>
    <row r="84" ht="15.75" customHeight="1" s="59">
      <c r="C84" s="5" t="inlineStr">
        <is>
          <t>Finishing m² (exposed)</t>
        </is>
      </c>
      <c r="D84" s="19">
        <f>SUMIF(I18:I42,"Y",N18:N42)+SUMIF(I46:I60,1,N46:N60)+2*SUMIF(I46:I60,2,N46:N60)</f>
        <v/>
      </c>
      <c r="F84" s="2" t="inlineStr">
        <is>
          <t>one face (L × W) per exposed solid component + exposed panel faces</t>
        </is>
      </c>
    </row>
    <row r="85" ht="15.75" customHeight="1" s="59">
      <c r="C85" s="5" t="inlineStr">
        <is>
          <t>Cartons</t>
        </is>
      </c>
      <c r="D85" s="39">
        <f>G15</f>
        <v/>
      </c>
    </row>
    <row r="86" ht="15.75" customHeight="1" s="59">
      <c r="C86" s="5" t="inlineStr">
        <is>
          <t>Carton m³</t>
        </is>
      </c>
      <c r="D86" s="19">
        <f>M15</f>
        <v/>
      </c>
    </row>
    <row r="87" ht="15.75" customHeight="1" s="59">
      <c r="C87" s="5" t="inlineStr">
        <is>
          <t>TIMBER</t>
        </is>
      </c>
      <c r="D87" s="12">
        <f>SUM(T18:T42)</f>
        <v/>
      </c>
      <c r="F87" s="2" t="inlineStr">
        <is>
          <t>Σ component m³ × tier rate (yield, processing and carpentry labour inside)</t>
        </is>
      </c>
    </row>
    <row r="88" ht="15.75" customHeight="1" s="59">
      <c r="C88" s="5" t="inlineStr">
        <is>
          <t>FASTENERS</t>
        </is>
      </c>
      <c r="D88" s="12">
        <f>D82*RATES!$C$46</f>
        <v/>
      </c>
      <c r="F88" s="2" t="inlineStr">
        <is>
          <t>solid wood m³ × FASTENERS</t>
        </is>
      </c>
    </row>
    <row r="89" ht="15.75" customHeight="1" s="59">
      <c r="C89" s="5" t="inlineStr">
        <is>
          <t>PANELS</t>
        </is>
      </c>
      <c r="D89" s="12">
        <f>SUM(T46:T60)</f>
        <v/>
      </c>
      <c r="F89" s="2" t="inlineStr">
        <is>
          <t>sheets charged × sheet rate (nested, or manual sheets)</t>
        </is>
      </c>
    </row>
    <row r="90" ht="15.75" customHeight="1" s="59">
      <c r="C90" s="5" t="inlineStr">
        <is>
          <t>FINISHING MATERIALS</t>
        </is>
      </c>
      <c r="D90" s="12">
        <f>D84*RATES!$C$47*IF($C$5="NONE (RAW)",0,1)</f>
        <v/>
      </c>
      <c r="F90" s="2" t="inlineStr">
        <is>
          <t>exposed m² × FIN_MAT (Zhanchen + thinner). All four finishing lines = 0 when FINISH RECIPE is NONE (RAW)</t>
        </is>
      </c>
    </row>
    <row r="91" ht="15.75" customHeight="1" s="59">
      <c r="C91" s="5" t="inlineStr">
        <is>
          <t>SANDING MATERIALS</t>
        </is>
      </c>
      <c r="D91" s="12">
        <f>D84*RATES!$C$48*IF($C$5="NONE (RAW)",0,1)</f>
        <v/>
      </c>
      <c r="F91" s="2" t="inlineStr">
        <is>
          <t>exposed m² × SAND_MAT (abrasives)</t>
        </is>
      </c>
    </row>
    <row r="92" ht="15.75" customHeight="1" s="59">
      <c r="C92" s="5" t="inlineStr">
        <is>
          <t>SANDING LABOUR</t>
        </is>
      </c>
      <c r="D92" s="12">
        <f>D84*RATES!$C$49*IF($C$5="NONE (RAW)",0,1)</f>
        <v/>
      </c>
      <c r="F92" s="2" t="inlineStr">
        <is>
          <t>exposed m² × SAND_LAB</t>
        </is>
      </c>
    </row>
    <row r="93" ht="15.75" customHeight="1" s="59">
      <c r="C93" s="5" t="inlineStr">
        <is>
          <t>FINISHING LABOUR</t>
        </is>
      </c>
      <c r="D93" s="12">
        <f>D84*RATES!$C$50*IF($C$5="NONE (RAW)",0,1)</f>
        <v/>
      </c>
      <c r="F93" s="2" t="inlineStr">
        <is>
          <t>exposed m² × FIN_LAB</t>
        </is>
      </c>
    </row>
    <row r="94" ht="15.75" customHeight="1" s="59">
      <c r="C94" s="5" t="inlineStr">
        <is>
          <t>HARDWARE</t>
        </is>
      </c>
      <c r="D94" s="12">
        <f>SUM(T64:T78)</f>
        <v/>
      </c>
      <c r="F94" s="2" t="inlineStr">
        <is>
          <t>Σ hardware &amp; bought-in lines (qty × unit price entered by the team)</t>
        </is>
      </c>
    </row>
    <row r="95" ht="15.75" customHeight="1" s="59">
      <c r="C95" s="5" t="inlineStr">
        <is>
          <t>PACKING</t>
        </is>
      </c>
      <c r="D95" s="12">
        <f>IF(L15=0,0,IF(L15&lt;RATES!$C$95,RATES!$C$53*G15,L15*RATES!$C$51*(1+IF(G15&gt;1,RATES!$C$96,0)))+M15*RATES!$C$52)</f>
        <v/>
      </c>
      <c r="F95" s="2" t="inlineStr">
        <is>
          <t>carton m² × CARTON_M2 + carton m³ × PACK_LAB</t>
        </is>
      </c>
    </row>
    <row r="96" ht="15.75" customHeight="1" s="59">
      <c r="C96" s="5" t="inlineStr">
        <is>
          <t>TOTAL COST</t>
        </is>
      </c>
      <c r="D96" s="16">
        <f>SUM(D87:D95)</f>
        <v/>
      </c>
      <c r="F96" t="inlineStr">
        <is>
          <t>Σ of the nine lines above</t>
        </is>
      </c>
    </row>
    <row r="97" ht="15.75" customHeight="1" s="59">
      <c r="C97" s="5" t="inlineStr">
        <is>
          <t>MISC 4%</t>
        </is>
      </c>
      <c r="D97" s="12">
        <f>D96*RATES!$C$54</f>
        <v/>
      </c>
      <c r="F97" s="2" t="inlineStr">
        <is>
          <t>total cost × MISC_PCT</t>
        </is>
      </c>
    </row>
    <row r="98" ht="15.75" customHeight="1" s="59">
      <c r="C98" s="5" t="inlineStr">
        <is>
          <t>DIRECT COST IDR (HPP)</t>
        </is>
      </c>
      <c r="D98" s="16">
        <f>D96+D97</f>
        <v/>
      </c>
      <c r="F98" t="inlineStr">
        <is>
          <t>total cost + misc</t>
        </is>
      </c>
    </row>
    <row r="99" ht="15.75" customHeight="1" s="59">
      <c r="B99" s="132">
        <f>RATES!$C$169</f>
        <v/>
      </c>
      <c r="C99" s="5" t="inlineStr">
        <is>
          <t>DIRECT COST USD</t>
        </is>
      </c>
      <c r="D99" s="138">
        <f>D98/RATES!$C$169</f>
        <v/>
      </c>
      <c r="F99" s="2" t="inlineStr">
        <is>
          <t>HPP ÷ FX_TARGET (IDR/USD in column B)</t>
        </is>
      </c>
    </row>
    <row r="100" ht="15.75" customHeight="1" s="59">
      <c r="C100" s="5" t="inlineStr">
        <is>
          <t>TARGET PRICE USD</t>
        </is>
      </c>
      <c r="D100" s="138">
        <f>D99*RATES!$C$55</f>
        <v/>
      </c>
      <c r="F100" s="2" t="inlineStr">
        <is>
          <t>direct cost USD × TARGET_X</t>
        </is>
      </c>
    </row>
    <row r="101" ht="15.75" customHeight="1" s="59">
      <c r="C101" s="5" t="inlineStr">
        <is>
          <t>ORDER QTY × DIRECT COST IDR</t>
        </is>
      </c>
      <c r="D101" s="16">
        <f>IF(ISNUMBER(C4),C4,0)*D98</f>
        <v/>
      </c>
    </row>
    <row r="102" ht="15.75" customHeight="1" s="59">
      <c r="C102" s="5" t="inlineStr">
        <is>
          <t>Open input checks</t>
        </is>
      </c>
      <c r="D102" s="40">
        <f>COUNTIF(R18:R42,"?*")-COUNTIF(R18:R42,"OK")+COUNTIF(R46:R60,"?*")-COUNTIF(R46:R60,"OK")+COUNTIF(S18:S60,"rate?")</f>
        <v/>
      </c>
      <c r="F102" s="2" t="inlineStr">
        <is>
          <t>must be 0 before the item counts as costed (see CHECK column)</t>
        </is>
      </c>
    </row>
    <row r="103" ht="15.75" customHeight="1" s="59"/>
    <row r="104" ht="15.75" customHeight="1" s="59"/>
    <row r="105" ht="15.75" customHeight="1" s="59"/>
    <row r="106" ht="15.75" customHeight="1" s="59"/>
    <row r="107" ht="15.75" customHeight="1" s="59"/>
    <row r="108" ht="15.75" customHeight="1" s="59"/>
    <row r="109" ht="15.75" customHeight="1" s="59"/>
    <row r="110" ht="15.75" customHeight="1" s="59"/>
    <row r="111" ht="15.75" customHeight="1" s="59"/>
    <row r="112" ht="15.75" customHeight="1" s="59"/>
    <row r="113" ht="15.75" customHeight="1" s="59"/>
    <row r="114" ht="15.75" customHeight="1" s="59"/>
    <row r="115" ht="15.75" customHeight="1" s="59"/>
    <row r="116" ht="15.75" customHeight="1" s="59"/>
    <row r="117" ht="15.75" customHeight="1" s="59"/>
    <row r="118" ht="15.75" customHeight="1" s="59"/>
    <row r="119" ht="15.75" customHeight="1" s="59"/>
    <row r="120" ht="15.75" customHeight="1" s="59"/>
    <row r="121" ht="15.75" customHeight="1" s="59"/>
    <row r="122" ht="15.75" customHeight="1" s="59"/>
    <row r="123" ht="15.75" customHeight="1" s="59"/>
    <row r="124" ht="15.75" customHeight="1" s="59"/>
    <row r="125" ht="15.75" customHeight="1" s="59"/>
    <row r="126" ht="15.75" customHeight="1" s="59"/>
    <row r="127" ht="15.75" customHeight="1" s="59"/>
    <row r="128" ht="15.75" customHeight="1" s="59"/>
    <row r="129" ht="15.75" customHeight="1" s="59"/>
    <row r="130" ht="15.75" customHeight="1" s="59"/>
    <row r="131" ht="15.75" customHeight="1" s="59"/>
    <row r="132" ht="15.75" customHeight="1" s="59"/>
    <row r="133" ht="15.75" customHeight="1" s="59"/>
    <row r="134" ht="15.75" customHeight="1" s="59"/>
    <row r="135" ht="15.75" customHeight="1" s="59"/>
    <row r="136" ht="15.75" customHeight="1" s="59"/>
    <row r="137" ht="15.75" customHeight="1" s="59"/>
    <row r="138" ht="15.75" customHeight="1" s="59"/>
    <row r="139" ht="15.75" customHeight="1" s="59"/>
    <row r="140" ht="15.75" customHeight="1" s="59"/>
    <row r="141" ht="15.75" customHeight="1" s="59"/>
    <row r="142" ht="15.75" customHeight="1" s="59"/>
    <row r="143" ht="15.75" customHeight="1" s="59"/>
    <row r="144" ht="15.75" customHeight="1" s="59"/>
    <row r="145" ht="15.75" customHeight="1" s="59"/>
    <row r="146" ht="15.75" customHeight="1" s="59"/>
    <row r="147" ht="15.75" customHeight="1" s="59"/>
    <row r="148" ht="15.75" customHeight="1" s="59"/>
    <row r="149" ht="15.75" customHeight="1" s="59"/>
    <row r="150" ht="15.75" customHeight="1" s="59"/>
    <row r="151" ht="15.75" customHeight="1" s="59"/>
    <row r="152" ht="15.75" customHeight="1" s="59"/>
    <row r="153" ht="15.75" customHeight="1" s="59"/>
    <row r="154" ht="15.75" customHeight="1" s="59"/>
    <row r="155" ht="15.75" customHeight="1" s="59"/>
    <row r="156" ht="15.75" customHeight="1" s="59"/>
    <row r="157" ht="15.75" customHeight="1" s="59"/>
    <row r="158" ht="15.75" customHeight="1" s="59"/>
    <row r="159" ht="15.75" customHeight="1" s="59"/>
    <row r="160" ht="15.75" customHeight="1" s="59"/>
    <row r="161" ht="15.75" customHeight="1" s="59"/>
    <row r="162" ht="15.75" customHeight="1" s="59"/>
    <row r="163" ht="15.75" customHeight="1" s="59"/>
    <row r="164" ht="15.75" customHeight="1" s="59"/>
    <row r="165" ht="15.75" customHeight="1" s="59"/>
    <row r="166" ht="15.75" customHeight="1" s="59"/>
    <row r="167" ht="15.75" customHeight="1" s="59"/>
    <row r="168" ht="15.75" customHeight="1" s="59"/>
    <row r="169" ht="15.75" customHeight="1" s="59"/>
    <row r="170" ht="15.75" customHeight="1" s="59"/>
    <row r="171" ht="15.75" customHeight="1" s="59"/>
    <row r="172" ht="15.75" customHeight="1" s="59"/>
    <row r="173" ht="15.75" customHeight="1" s="59"/>
    <row r="174" ht="15.75" customHeight="1" s="59"/>
    <row r="175" ht="15.75" customHeight="1" s="59"/>
    <row r="176" ht="15.75" customHeight="1" s="59"/>
    <row r="177" ht="15.75" customHeight="1" s="59"/>
    <row r="178" ht="15.75" customHeight="1" s="59"/>
    <row r="179" ht="15.75" customHeight="1" s="59"/>
    <row r="180" ht="15.75" customHeight="1" s="59"/>
    <row r="181" ht="15.75" customHeight="1" s="59"/>
    <row r="182" ht="15.75" customHeight="1" s="59"/>
    <row r="183" ht="15.75" customHeight="1" s="59"/>
    <row r="184" ht="15.75" customHeight="1" s="59"/>
    <row r="185" ht="15.75" customHeight="1" s="59"/>
    <row r="186" ht="15.75" customHeight="1" s="59"/>
    <row r="187" ht="15.75" customHeight="1" s="59"/>
    <row r="188" ht="15.75" customHeight="1" s="59"/>
    <row r="189" ht="15.75" customHeight="1" s="59"/>
    <row r="190" ht="15.75" customHeight="1" s="59"/>
    <row r="191" ht="15.75" customHeight="1" s="59"/>
    <row r="192" ht="15.75" customHeight="1" s="59"/>
    <row r="193" ht="15.75" customHeight="1" s="59"/>
    <row r="194" ht="15.75" customHeight="1" s="59"/>
    <row r="195" ht="15.75" customHeight="1" s="59"/>
    <row r="196" ht="15.75" customHeight="1" s="59"/>
    <row r="197" ht="15.75" customHeight="1" s="59"/>
    <row r="198" ht="15.75" customHeight="1" s="59"/>
    <row r="199" ht="15.75" customHeight="1" s="59"/>
    <row r="200" ht="15.75" customHeight="1" s="59"/>
    <row r="201" ht="15.75" customHeight="1" s="59"/>
    <row r="202" ht="15.75" customHeight="1" s="59"/>
    <row r="203" ht="15.75" customHeight="1" s="59"/>
    <row r="204" ht="15.75" customHeight="1" s="59"/>
    <row r="205" ht="15.75" customHeight="1" s="59"/>
    <row r="206" ht="15.75" customHeight="1" s="59"/>
    <row r="207" ht="15.75" customHeight="1" s="59"/>
    <row r="208" ht="15.75" customHeight="1" s="59"/>
    <row r="209" ht="15.75" customHeight="1" s="59"/>
    <row r="210" ht="15.75" customHeight="1" s="59"/>
    <row r="211" ht="15.75" customHeight="1" s="59"/>
    <row r="212" ht="15.75" customHeight="1" s="59"/>
    <row r="213" ht="15.75" customHeight="1" s="59"/>
    <row r="214" ht="15.75" customHeight="1" s="59"/>
    <row r="215" ht="15.75" customHeight="1" s="59"/>
    <row r="216" ht="15.75" customHeight="1" s="59"/>
    <row r="217" ht="15.75" customHeight="1" s="59"/>
    <row r="218" ht="15.75" customHeight="1" s="59"/>
    <row r="219" ht="15.75" customHeight="1" s="59"/>
    <row r="220" ht="15.75" customHeight="1" s="59"/>
    <row r="221" ht="15.75" customHeight="1" s="59"/>
    <row r="222" ht="15.75" customHeight="1" s="59"/>
    <row r="223" ht="15.75" customHeight="1" s="59"/>
    <row r="224" ht="15.75" customHeight="1" s="59"/>
    <row r="225" ht="15.75" customHeight="1" s="59"/>
    <row r="226" ht="15.75" customHeight="1" s="59"/>
    <row r="227" ht="15.75" customHeight="1" s="59"/>
    <row r="228" ht="15.75" customHeight="1" s="59"/>
    <row r="229" ht="15.75" customHeight="1" s="59"/>
    <row r="230" ht="15.75" customHeight="1" s="59"/>
    <row r="231" ht="15.75" customHeight="1" s="59"/>
    <row r="232" ht="15.75" customHeight="1" s="59"/>
    <row r="233" ht="15.75" customHeight="1" s="59"/>
    <row r="234" ht="15.75" customHeight="1" s="59"/>
    <row r="235" ht="15.75" customHeight="1" s="59"/>
    <row r="236" ht="15.75" customHeight="1" s="59"/>
    <row r="237" ht="15.75" customHeight="1" s="59"/>
    <row r="238" ht="15.75" customHeight="1" s="59"/>
    <row r="239" ht="15.75" customHeight="1" s="59"/>
    <row r="240" ht="15.75" customHeight="1" s="59"/>
    <row r="241" ht="15.75" customHeight="1" s="59"/>
    <row r="242" ht="15.75" customHeight="1" s="59"/>
    <row r="243" ht="15.75" customHeight="1" s="59"/>
    <row r="244" ht="15.75" customHeight="1" s="59"/>
    <row r="245" ht="15.75" customHeight="1" s="59"/>
    <row r="246" ht="15.75" customHeight="1" s="59"/>
    <row r="247" ht="15.75" customHeight="1" s="59"/>
    <row r="248" ht="15.75" customHeight="1" s="59"/>
    <row r="249" ht="15.75" customHeight="1" s="59"/>
    <row r="250" ht="15.75" customHeight="1" s="59"/>
    <row r="251" ht="15.75" customHeight="1" s="59"/>
    <row r="252" ht="15.75" customHeight="1" s="59"/>
    <row r="253" ht="15.75" customHeight="1" s="59"/>
    <row r="254" ht="15.75" customHeight="1" s="59"/>
    <row r="255" ht="15.75" customHeight="1" s="59"/>
    <row r="256" ht="15.75" customHeight="1" s="59"/>
    <row r="257" ht="15.75" customHeight="1" s="59"/>
    <row r="258" ht="15.75" customHeight="1" s="59"/>
    <row r="259" ht="15.75" customHeight="1" s="59"/>
    <row r="260" ht="15.75" customHeight="1" s="59"/>
    <row r="261" ht="15.75" customHeight="1" s="59"/>
    <row r="262" ht="15.75" customHeight="1" s="59"/>
    <row r="263" ht="15.75" customHeight="1" s="59"/>
    <row r="264" ht="15.75" customHeight="1" s="59"/>
    <row r="265" ht="15.75" customHeight="1" s="59"/>
    <row r="266" ht="15.75" customHeight="1" s="59"/>
    <row r="267" ht="15.75" customHeight="1" s="59"/>
    <row r="268" ht="15.75" customHeight="1" s="59"/>
    <row r="269" ht="15.75" customHeight="1" s="59"/>
    <row r="270" ht="15.75" customHeight="1" s="59"/>
    <row r="271" ht="15.75" customHeight="1" s="59"/>
    <row r="272" ht="15.75" customHeight="1" s="59"/>
    <row r="273" ht="15.75" customHeight="1" s="59"/>
    <row r="274" ht="15.75" customHeight="1" s="59"/>
    <row r="275" ht="15.75" customHeight="1" s="59"/>
    <row r="276" ht="15.75" customHeight="1" s="59"/>
    <row r="277" ht="15.75" customHeight="1" s="59"/>
    <row r="278" ht="15.75" customHeight="1" s="59"/>
    <row r="279" ht="15.75" customHeight="1" s="59"/>
    <row r="280" ht="15.75" customHeight="1" s="59"/>
    <row r="281" ht="15.75" customHeight="1" s="59"/>
    <row r="282" ht="15.75" customHeight="1" s="59"/>
    <row r="283" ht="15.75" customHeight="1" s="59"/>
    <row r="284" ht="15.75" customHeight="1" s="59"/>
    <row r="285" ht="15.75" customHeight="1" s="59"/>
    <row r="286" ht="15.75" customHeight="1" s="59"/>
    <row r="287" ht="15.75" customHeight="1" s="59"/>
    <row r="288" ht="15.75" customHeight="1" s="59"/>
    <row r="289" ht="15.75" customHeight="1" s="59"/>
    <row r="290" ht="15.75" customHeight="1" s="59"/>
    <row r="291" ht="15.75" customHeight="1" s="59"/>
    <row r="292" ht="15.75" customHeight="1" s="59"/>
    <row r="293" ht="15.75" customHeight="1" s="59"/>
    <row r="294" ht="15.75" customHeight="1" s="59"/>
    <row r="295" ht="15.75" customHeight="1" s="59"/>
    <row r="296" ht="15.75" customHeight="1" s="59"/>
    <row r="297" ht="15.75" customHeight="1" s="59"/>
    <row r="298" ht="15.75" customHeight="1" s="59"/>
    <row r="299" ht="15.75" customHeight="1" s="59"/>
    <row r="300" ht="15.75" customHeight="1" s="59"/>
    <row r="301" ht="15.75" customHeight="1" s="59"/>
    <row r="302" ht="15.75" customHeight="1" s="59"/>
    <row r="303" ht="15.75" customHeight="1" s="59"/>
    <row r="304" ht="15.75" customHeight="1" s="59"/>
    <row r="305" ht="15.75" customHeight="1" s="59"/>
    <row r="306" ht="15.75" customHeight="1" s="59"/>
    <row r="307" ht="15.75" customHeight="1" s="59"/>
    <row r="308" ht="15.75" customHeight="1" s="59"/>
    <row r="309" ht="15.75" customHeight="1" s="59"/>
    <row r="310" ht="15.75" customHeight="1" s="59"/>
    <row r="311" ht="15.75" customHeight="1" s="59"/>
    <row r="312" ht="15.75" customHeight="1" s="59"/>
    <row r="313" ht="15.75" customHeight="1" s="59"/>
    <row r="314" ht="15.75" customHeight="1" s="59"/>
    <row r="315" ht="15.75" customHeight="1" s="59"/>
    <row r="316" ht="15.75" customHeight="1" s="59"/>
    <row r="317" ht="15.75" customHeight="1" s="59"/>
    <row r="318" ht="15.75" customHeight="1" s="59"/>
    <row r="319" ht="15.75" customHeight="1" s="59"/>
    <row r="320" ht="15.75" customHeight="1" s="59"/>
    <row r="321" ht="15.75" customHeight="1" s="59"/>
    <row r="322" ht="15.75" customHeight="1" s="59"/>
    <row r="323" ht="15.75" customHeight="1" s="59"/>
    <row r="324" ht="15.75" customHeight="1" s="59"/>
    <row r="325" ht="15.75" customHeight="1" s="59"/>
    <row r="326" ht="15.75" customHeight="1" s="59"/>
    <row r="327" ht="15.75" customHeight="1" s="59"/>
    <row r="328" ht="15.75" customHeight="1" s="59"/>
    <row r="329" ht="15.75" customHeight="1" s="59"/>
    <row r="330" ht="15.75" customHeight="1" s="59"/>
    <row r="331" ht="15.75" customHeight="1" s="59"/>
    <row r="332" ht="15.75" customHeight="1" s="59"/>
    <row r="333" ht="15.75" customHeight="1" s="59"/>
    <row r="334" ht="15.75" customHeight="1" s="59"/>
    <row r="335" ht="15.75" customHeight="1" s="59"/>
    <row r="336" ht="15.75" customHeight="1" s="59"/>
    <row r="337" ht="15.75" customHeight="1" s="59"/>
    <row r="338" ht="15.75" customHeight="1" s="59"/>
    <row r="339" ht="15.75" customHeight="1" s="59"/>
    <row r="340" ht="15.75" customHeight="1" s="59"/>
    <row r="341" ht="15.75" customHeight="1" s="59"/>
    <row r="342" ht="15.75" customHeight="1" s="59"/>
    <row r="343" ht="15.75" customHeight="1" s="59"/>
    <row r="344" ht="15.75" customHeight="1" s="59"/>
    <row r="345" ht="15.75" customHeight="1" s="59"/>
    <row r="346" ht="15.75" customHeight="1" s="59"/>
    <row r="347" ht="15.75" customHeight="1" s="59"/>
    <row r="348" ht="15.75" customHeight="1" s="59"/>
    <row r="349" ht="15.75" customHeight="1" s="59"/>
    <row r="350" ht="15.75" customHeight="1" s="59"/>
    <row r="351" ht="15.75" customHeight="1" s="59"/>
    <row r="352" ht="15.75" customHeight="1" s="59"/>
    <row r="353" ht="15.75" customHeight="1" s="59"/>
    <row r="354" ht="15.75" customHeight="1" s="59"/>
    <row r="355" ht="15.75" customHeight="1" s="59"/>
    <row r="356" ht="15.75" customHeight="1" s="59"/>
    <row r="357" ht="15.75" customHeight="1" s="59"/>
    <row r="358" ht="15.75" customHeight="1" s="59"/>
    <row r="359" ht="15.75" customHeight="1" s="59"/>
    <row r="360" ht="15.75" customHeight="1" s="59"/>
    <row r="361" ht="15.75" customHeight="1" s="59"/>
    <row r="362" ht="15.75" customHeight="1" s="59"/>
    <row r="363" ht="15.75" customHeight="1" s="59"/>
    <row r="364" ht="15.75" customHeight="1" s="59"/>
    <row r="365" ht="15.75" customHeight="1" s="59"/>
    <row r="366" ht="15.75" customHeight="1" s="59"/>
    <row r="367" ht="15.75" customHeight="1" s="59"/>
    <row r="368" ht="15.75" customHeight="1" s="59"/>
    <row r="369" ht="15.75" customHeight="1" s="59"/>
    <row r="370" ht="15.75" customHeight="1" s="59"/>
    <row r="371" ht="15.75" customHeight="1" s="59"/>
    <row r="372" ht="15.75" customHeight="1" s="59"/>
    <row r="373" ht="15.75" customHeight="1" s="59"/>
    <row r="374" ht="15.75" customHeight="1" s="59"/>
    <row r="375" ht="15.75" customHeight="1" s="59"/>
    <row r="376" ht="15.75" customHeight="1" s="59"/>
    <row r="377" ht="15.75" customHeight="1" s="59"/>
    <row r="378" ht="15.75" customHeight="1" s="59"/>
    <row r="379" ht="15.75" customHeight="1" s="59"/>
    <row r="380" ht="15.75" customHeight="1" s="59"/>
    <row r="381" ht="15.75" customHeight="1" s="59"/>
    <row r="382" ht="15.75" customHeight="1" s="59"/>
    <row r="383" ht="15.75" customHeight="1" s="59"/>
    <row r="384" ht="15.75" customHeight="1" s="59"/>
    <row r="385" ht="15.75" customHeight="1" s="59"/>
    <row r="386" ht="15.75" customHeight="1" s="59"/>
    <row r="387" ht="15.75" customHeight="1" s="59"/>
    <row r="388" ht="15.75" customHeight="1" s="59"/>
    <row r="389" ht="15.75" customHeight="1" s="59"/>
    <row r="390" ht="15.75" customHeight="1" s="59"/>
    <row r="391" ht="15.75" customHeight="1" s="59"/>
    <row r="392" ht="15.75" customHeight="1" s="59"/>
    <row r="393" ht="15.75" customHeight="1" s="59"/>
    <row r="394" ht="15.75" customHeight="1" s="59"/>
    <row r="395" ht="15.75" customHeight="1" s="59"/>
    <row r="396" ht="15.75" customHeight="1" s="59"/>
    <row r="397" ht="15.75" customHeight="1" s="59"/>
    <row r="398" ht="15.75" customHeight="1" s="59"/>
    <row r="399" ht="15.75" customHeight="1" s="59"/>
    <row r="400" ht="15.75" customHeight="1" s="59"/>
    <row r="401" ht="15.75" customHeight="1" s="59"/>
    <row r="402" ht="15.75" customHeight="1" s="59"/>
    <row r="403" ht="15.75" customHeight="1" s="59"/>
    <row r="404" ht="15.75" customHeight="1" s="59"/>
    <row r="405" ht="15.75" customHeight="1" s="59"/>
    <row r="406" ht="15.75" customHeight="1" s="59"/>
    <row r="407" ht="15.75" customHeight="1" s="59"/>
    <row r="408" ht="15.75" customHeight="1" s="59"/>
    <row r="409" ht="15.75" customHeight="1" s="59"/>
    <row r="410" ht="15.75" customHeight="1" s="59"/>
    <row r="411" ht="15.75" customHeight="1" s="59"/>
    <row r="412" ht="15.75" customHeight="1" s="59"/>
    <row r="413" ht="15.75" customHeight="1" s="59"/>
    <row r="414" ht="15.75" customHeight="1" s="59"/>
    <row r="415" ht="15.75" customHeight="1" s="59"/>
    <row r="416" ht="15.75" customHeight="1" s="59"/>
    <row r="417" ht="15.75" customHeight="1" s="59"/>
    <row r="418" ht="15.75" customHeight="1" s="59"/>
    <row r="419" ht="15.75" customHeight="1" s="59"/>
    <row r="420" ht="15.75" customHeight="1" s="59"/>
    <row r="421" ht="15.75" customHeight="1" s="59"/>
    <row r="422" ht="15.75" customHeight="1" s="59"/>
    <row r="423" ht="15.75" customHeight="1" s="59"/>
    <row r="424" ht="15.75" customHeight="1" s="59"/>
    <row r="425" ht="15.75" customHeight="1" s="59"/>
    <row r="426" ht="15.75" customHeight="1" s="59"/>
    <row r="427" ht="15.75" customHeight="1" s="59"/>
    <row r="428" ht="15.75" customHeight="1" s="59"/>
    <row r="429" ht="15.75" customHeight="1" s="59"/>
    <row r="430" ht="15.75" customHeight="1" s="59"/>
    <row r="431" ht="15.75" customHeight="1" s="59"/>
    <row r="432" ht="15.75" customHeight="1" s="59"/>
    <row r="433" ht="15.75" customHeight="1" s="59"/>
    <row r="434" ht="15.75" customHeight="1" s="59"/>
    <row r="435" ht="15.75" customHeight="1" s="59"/>
    <row r="436" ht="15.75" customHeight="1" s="59"/>
    <row r="437" ht="15.75" customHeight="1" s="59"/>
    <row r="438" ht="15.75" customHeight="1" s="59"/>
    <row r="439" ht="15.75" customHeight="1" s="59"/>
    <row r="440" ht="15.75" customHeight="1" s="59"/>
    <row r="441" ht="15.75" customHeight="1" s="59"/>
    <row r="442" ht="15.75" customHeight="1" s="59"/>
    <row r="443" ht="15.75" customHeight="1" s="59"/>
    <row r="444" ht="15.75" customHeight="1" s="59"/>
    <row r="445" ht="15.75" customHeight="1" s="59"/>
    <row r="446" ht="15.75" customHeight="1" s="59"/>
    <row r="447" ht="15.75" customHeight="1" s="59"/>
    <row r="448" ht="15.75" customHeight="1" s="59"/>
    <row r="449" ht="15.75" customHeight="1" s="59"/>
    <row r="450" ht="15.75" customHeight="1" s="59"/>
    <row r="451" ht="15.75" customHeight="1" s="59"/>
    <row r="452" ht="15.75" customHeight="1" s="59"/>
    <row r="453" ht="15.75" customHeight="1" s="59"/>
    <row r="454" ht="15.75" customHeight="1" s="59"/>
    <row r="455" ht="15.75" customHeight="1" s="59"/>
    <row r="456" ht="15.75" customHeight="1" s="59"/>
    <row r="457" ht="15.75" customHeight="1" s="59"/>
    <row r="458" ht="15.75" customHeight="1" s="59"/>
    <row r="459" ht="15.75" customHeight="1" s="59"/>
    <row r="460" ht="15.75" customHeight="1" s="59"/>
    <row r="461" ht="15.75" customHeight="1" s="59"/>
    <row r="462" ht="15.75" customHeight="1" s="59"/>
    <row r="463" ht="15.75" customHeight="1" s="59"/>
    <row r="464" ht="15.75" customHeight="1" s="59"/>
    <row r="465" ht="15.75" customHeight="1" s="59"/>
    <row r="466" ht="15.75" customHeight="1" s="59"/>
    <row r="467" ht="15.75" customHeight="1" s="59"/>
    <row r="468" ht="15.75" customHeight="1" s="59"/>
    <row r="469" ht="15.75" customHeight="1" s="59"/>
    <row r="470" ht="15.75" customHeight="1" s="59"/>
    <row r="471" ht="15.75" customHeight="1" s="59"/>
    <row r="472" ht="15.75" customHeight="1" s="59"/>
    <row r="473" ht="15.75" customHeight="1" s="59"/>
    <row r="474" ht="15.75" customHeight="1" s="59"/>
    <row r="475" ht="15.75" customHeight="1" s="59"/>
    <row r="476" ht="15.75" customHeight="1" s="59"/>
    <row r="477" ht="15.75" customHeight="1" s="59"/>
    <row r="478" ht="15.75" customHeight="1" s="59"/>
    <row r="479" ht="15.75" customHeight="1" s="59"/>
    <row r="480" ht="15.75" customHeight="1" s="59"/>
    <row r="481" ht="15.75" customHeight="1" s="59"/>
    <row r="482" ht="15.75" customHeight="1" s="59"/>
    <row r="483" ht="15.75" customHeight="1" s="59"/>
    <row r="484" ht="15.75" customHeight="1" s="59"/>
    <row r="485" ht="15.75" customHeight="1" s="59"/>
    <row r="486" ht="15.75" customHeight="1" s="59"/>
    <row r="487" ht="15.75" customHeight="1" s="59"/>
    <row r="488" ht="15.75" customHeight="1" s="59"/>
    <row r="489" ht="15.75" customHeight="1" s="59"/>
    <row r="490" ht="15.75" customHeight="1" s="59"/>
    <row r="491" ht="15.75" customHeight="1" s="59"/>
    <row r="492" ht="15.75" customHeight="1" s="59"/>
    <row r="493" ht="15.75" customHeight="1" s="59"/>
    <row r="494" ht="15.75" customHeight="1" s="59"/>
    <row r="495" ht="15.75" customHeight="1" s="59"/>
    <row r="496" ht="15.75" customHeight="1" s="59"/>
    <row r="497" ht="15.75" customHeight="1" s="59"/>
    <row r="498" ht="15.75" customHeight="1" s="59"/>
    <row r="499" ht="15.75" customHeight="1" s="59"/>
    <row r="500" ht="15.75" customHeight="1" s="59"/>
    <row r="501" ht="15.75" customHeight="1" s="59"/>
    <row r="502" ht="15.75" customHeight="1" s="59"/>
    <row r="503" ht="15.75" customHeight="1" s="59"/>
    <row r="504" ht="15.75" customHeight="1" s="59"/>
    <row r="505" ht="15.75" customHeight="1" s="59"/>
    <row r="506" ht="15.75" customHeight="1" s="59"/>
    <row r="507" ht="15.75" customHeight="1" s="59"/>
    <row r="508" ht="15.75" customHeight="1" s="59"/>
    <row r="509" ht="15.75" customHeight="1" s="59"/>
    <row r="510" ht="15.75" customHeight="1" s="59"/>
    <row r="511" ht="15.75" customHeight="1" s="59"/>
    <row r="512" ht="15.75" customHeight="1" s="59"/>
    <row r="513" ht="15.75" customHeight="1" s="59"/>
    <row r="514" ht="15.75" customHeight="1" s="59"/>
    <row r="515" ht="15.75" customHeight="1" s="59"/>
    <row r="516" ht="15.75" customHeight="1" s="59"/>
    <row r="517" ht="15.75" customHeight="1" s="59"/>
    <row r="518" ht="15.75" customHeight="1" s="59"/>
    <row r="519" ht="15.75" customHeight="1" s="59"/>
    <row r="520" ht="15.75" customHeight="1" s="59"/>
    <row r="521" ht="15.75" customHeight="1" s="59"/>
    <row r="522" ht="15.75" customHeight="1" s="59"/>
    <row r="523" ht="15.75" customHeight="1" s="59"/>
    <row r="524" ht="15.75" customHeight="1" s="59"/>
    <row r="525" ht="15.75" customHeight="1" s="59"/>
    <row r="526" ht="15.75" customHeight="1" s="59"/>
    <row r="527" ht="15.75" customHeight="1" s="59"/>
    <row r="528" ht="15.75" customHeight="1" s="59"/>
    <row r="529" ht="15.75" customHeight="1" s="59"/>
    <row r="530" ht="15.75" customHeight="1" s="59"/>
    <row r="531" ht="15.75" customHeight="1" s="59"/>
    <row r="532" ht="15.75" customHeight="1" s="59"/>
    <row r="533" ht="15.75" customHeight="1" s="59"/>
    <row r="534" ht="15.75" customHeight="1" s="59"/>
    <row r="535" ht="15.75" customHeight="1" s="59"/>
    <row r="536" ht="15.75" customHeight="1" s="59"/>
    <row r="537" ht="15.75" customHeight="1" s="59"/>
    <row r="538" ht="15.75" customHeight="1" s="59"/>
    <row r="539" ht="15.75" customHeight="1" s="59"/>
    <row r="540" ht="15.75" customHeight="1" s="59"/>
    <row r="541" ht="15.75" customHeight="1" s="59"/>
    <row r="542" ht="15.75" customHeight="1" s="59"/>
    <row r="543" ht="15.75" customHeight="1" s="59"/>
    <row r="544" ht="15.75" customHeight="1" s="59"/>
    <row r="545" ht="15.75" customHeight="1" s="59"/>
    <row r="546" ht="15.75" customHeight="1" s="59"/>
    <row r="547" ht="15.75" customHeight="1" s="59"/>
    <row r="548" ht="15.75" customHeight="1" s="59"/>
    <row r="549" ht="15.75" customHeight="1" s="59"/>
    <row r="550" ht="15.75" customHeight="1" s="59"/>
    <row r="551" ht="15.75" customHeight="1" s="59"/>
    <row r="552" ht="15.75" customHeight="1" s="59"/>
    <row r="553" ht="15.75" customHeight="1" s="59"/>
    <row r="554" ht="15.75" customHeight="1" s="59"/>
    <row r="555" ht="15.75" customHeight="1" s="59"/>
    <row r="556" ht="15.75" customHeight="1" s="59"/>
    <row r="557" ht="15.75" customHeight="1" s="59"/>
    <row r="558" ht="15.75" customHeight="1" s="59"/>
    <row r="559" ht="15.75" customHeight="1" s="59"/>
    <row r="560" ht="15.75" customHeight="1" s="59"/>
    <row r="561" ht="15.75" customHeight="1" s="59"/>
    <row r="562" ht="15.75" customHeight="1" s="59"/>
    <row r="563" ht="15.75" customHeight="1" s="59"/>
    <row r="564" ht="15.75" customHeight="1" s="59"/>
    <row r="565" ht="15.75" customHeight="1" s="59"/>
    <row r="566" ht="15.75" customHeight="1" s="59"/>
    <row r="567" ht="15.75" customHeight="1" s="59"/>
    <row r="568" ht="15.75" customHeight="1" s="59"/>
    <row r="569" ht="15.75" customHeight="1" s="59"/>
    <row r="570" ht="15.75" customHeight="1" s="59"/>
    <row r="571" ht="15.75" customHeight="1" s="59"/>
    <row r="572" ht="15.75" customHeight="1" s="59"/>
    <row r="573" ht="15.75" customHeight="1" s="59"/>
    <row r="574" ht="15.75" customHeight="1" s="59"/>
    <row r="575" ht="15.75" customHeight="1" s="59"/>
    <row r="576" ht="15.75" customHeight="1" s="59"/>
    <row r="577" ht="15.75" customHeight="1" s="59"/>
    <row r="578" ht="15.75" customHeight="1" s="59"/>
    <row r="579" ht="15.75" customHeight="1" s="59"/>
    <row r="580" ht="15.75" customHeight="1" s="59"/>
    <row r="581" ht="15.75" customHeight="1" s="59"/>
    <row r="582" ht="15.75" customHeight="1" s="59"/>
    <row r="583" ht="15.75" customHeight="1" s="59"/>
    <row r="584" ht="15.75" customHeight="1" s="59"/>
    <row r="585" ht="15.75" customHeight="1" s="59"/>
    <row r="586" ht="15.75" customHeight="1" s="59"/>
    <row r="587" ht="15.75" customHeight="1" s="59"/>
    <row r="588" ht="15.75" customHeight="1" s="59"/>
    <row r="589" ht="15.75" customHeight="1" s="59"/>
    <row r="590" ht="15.75" customHeight="1" s="59"/>
    <row r="591" ht="15.75" customHeight="1" s="59"/>
    <row r="592" ht="15.75" customHeight="1" s="59"/>
    <row r="593" ht="15.75" customHeight="1" s="59"/>
    <row r="594" ht="15.75" customHeight="1" s="59"/>
    <row r="595" ht="15.75" customHeight="1" s="59"/>
    <row r="596" ht="15.75" customHeight="1" s="59"/>
    <row r="597" ht="15.75" customHeight="1" s="59"/>
    <row r="598" ht="15.75" customHeight="1" s="59"/>
    <row r="599" ht="15.75" customHeight="1" s="59"/>
    <row r="600" ht="15.75" customHeight="1" s="59"/>
    <row r="601" ht="15.75" customHeight="1" s="59"/>
    <row r="602" ht="15.75" customHeight="1" s="59"/>
    <row r="603" ht="15.75" customHeight="1" s="59"/>
    <row r="604" ht="15.75" customHeight="1" s="59"/>
    <row r="605" ht="15.75" customHeight="1" s="59"/>
    <row r="606" ht="15.75" customHeight="1" s="59"/>
    <row r="607" ht="15.75" customHeight="1" s="59"/>
    <row r="608" ht="15.75" customHeight="1" s="59"/>
    <row r="609" ht="15.75" customHeight="1" s="59"/>
    <row r="610" ht="15.75" customHeight="1" s="59"/>
    <row r="611" ht="15.75" customHeight="1" s="59"/>
    <row r="612" ht="15.75" customHeight="1" s="59"/>
    <row r="613" ht="15.75" customHeight="1" s="59"/>
    <row r="614" ht="15.75" customHeight="1" s="59"/>
    <row r="615" ht="15.75" customHeight="1" s="59"/>
    <row r="616" ht="15.75" customHeight="1" s="59"/>
    <row r="617" ht="15.75" customHeight="1" s="59"/>
    <row r="618" ht="15.75" customHeight="1" s="59"/>
    <row r="619" ht="15.75" customHeight="1" s="59"/>
    <row r="620" ht="15.75" customHeight="1" s="59"/>
    <row r="621" ht="15.75" customHeight="1" s="59"/>
    <row r="622" ht="15.75" customHeight="1" s="59"/>
    <row r="623" ht="15.75" customHeight="1" s="59"/>
    <row r="624" ht="15.75" customHeight="1" s="59"/>
    <row r="625" ht="15.75" customHeight="1" s="59"/>
    <row r="626" ht="15.75" customHeight="1" s="59"/>
    <row r="627" ht="15.75" customHeight="1" s="59"/>
    <row r="628" ht="15.75" customHeight="1" s="59"/>
    <row r="629" ht="15.75" customHeight="1" s="59"/>
    <row r="630" ht="15.75" customHeight="1" s="59"/>
    <row r="631" ht="15.75" customHeight="1" s="59"/>
    <row r="632" ht="15.75" customHeight="1" s="59"/>
    <row r="633" ht="15.75" customHeight="1" s="59"/>
    <row r="634" ht="15.75" customHeight="1" s="59"/>
    <row r="635" ht="15.75" customHeight="1" s="59"/>
    <row r="636" ht="15.75" customHeight="1" s="59"/>
    <row r="637" ht="15.75" customHeight="1" s="59"/>
    <row r="638" ht="15.75" customHeight="1" s="59"/>
    <row r="639" ht="15.75" customHeight="1" s="59"/>
    <row r="640" ht="15.75" customHeight="1" s="59"/>
    <row r="641" ht="15.75" customHeight="1" s="59"/>
    <row r="642" ht="15.75" customHeight="1" s="59"/>
    <row r="643" ht="15.75" customHeight="1" s="59"/>
    <row r="644" ht="15.75" customHeight="1" s="59"/>
    <row r="645" ht="15.75" customHeight="1" s="59"/>
    <row r="646" ht="15.75" customHeight="1" s="59"/>
    <row r="647" ht="15.75" customHeight="1" s="59"/>
    <row r="648" ht="15.75" customHeight="1" s="59"/>
    <row r="649" ht="15.75" customHeight="1" s="59"/>
    <row r="650" ht="15.75" customHeight="1" s="59"/>
    <row r="651" ht="15.75" customHeight="1" s="59"/>
    <row r="652" ht="15.75" customHeight="1" s="59"/>
    <row r="653" ht="15.75" customHeight="1" s="59"/>
    <row r="654" ht="15.75" customHeight="1" s="59"/>
    <row r="655" ht="15.75" customHeight="1" s="59"/>
    <row r="656" ht="15.75" customHeight="1" s="59"/>
    <row r="657" ht="15.75" customHeight="1" s="59"/>
    <row r="658" ht="15.75" customHeight="1" s="59"/>
    <row r="659" ht="15.75" customHeight="1" s="59"/>
    <row r="660" ht="15.75" customHeight="1" s="59"/>
    <row r="661" ht="15.75" customHeight="1" s="59"/>
    <row r="662" ht="15.75" customHeight="1" s="59"/>
    <row r="663" ht="15.75" customHeight="1" s="59"/>
    <row r="664" ht="15.75" customHeight="1" s="59"/>
    <row r="665" ht="15.75" customHeight="1" s="59"/>
    <row r="666" ht="15.75" customHeight="1" s="59"/>
    <row r="667" ht="15.75" customHeight="1" s="59"/>
    <row r="668" ht="15.75" customHeight="1" s="59"/>
    <row r="669" ht="15.75" customHeight="1" s="59"/>
    <row r="670" ht="15.75" customHeight="1" s="59"/>
    <row r="671" ht="15.75" customHeight="1" s="59"/>
    <row r="672" ht="15.75" customHeight="1" s="59"/>
    <row r="673" ht="15.75" customHeight="1" s="59"/>
    <row r="674" ht="15.75" customHeight="1" s="59"/>
    <row r="675" ht="15.75" customHeight="1" s="59"/>
    <row r="676" ht="15.75" customHeight="1" s="59"/>
    <row r="677" ht="15.75" customHeight="1" s="59"/>
    <row r="678" ht="15.75" customHeight="1" s="59"/>
    <row r="679" ht="15.75" customHeight="1" s="59"/>
    <row r="680" ht="15.75" customHeight="1" s="59"/>
    <row r="681" ht="15.75" customHeight="1" s="59"/>
    <row r="682" ht="15.75" customHeight="1" s="59"/>
    <row r="683" ht="15.75" customHeight="1" s="59"/>
    <row r="684" ht="15.75" customHeight="1" s="59"/>
    <row r="685" ht="15.75" customHeight="1" s="59"/>
    <row r="686" ht="15.75" customHeight="1" s="59"/>
    <row r="687" ht="15.75" customHeight="1" s="59"/>
    <row r="688" ht="15.75" customHeight="1" s="59"/>
    <row r="689" ht="15.75" customHeight="1" s="59"/>
    <row r="690" ht="15.75" customHeight="1" s="59"/>
    <row r="691" ht="15.75" customHeight="1" s="59"/>
    <row r="692" ht="15.75" customHeight="1" s="59"/>
    <row r="693" ht="15.75" customHeight="1" s="59"/>
    <row r="694" ht="15.75" customHeight="1" s="59"/>
    <row r="695" ht="15.75" customHeight="1" s="59"/>
    <row r="696" ht="15.75" customHeight="1" s="59"/>
    <row r="697" ht="15.75" customHeight="1" s="59"/>
    <row r="698" ht="15.75" customHeight="1" s="59"/>
    <row r="699" ht="15.75" customHeight="1" s="59"/>
    <row r="700" ht="15.75" customHeight="1" s="59"/>
    <row r="701" ht="15.75" customHeight="1" s="59"/>
    <row r="702" ht="15.75" customHeight="1" s="59"/>
    <row r="703" ht="15.75" customHeight="1" s="59"/>
    <row r="704" ht="15.75" customHeight="1" s="59"/>
    <row r="705" ht="15.75" customHeight="1" s="59"/>
    <row r="706" ht="15.75" customHeight="1" s="59"/>
    <row r="707" ht="15.75" customHeight="1" s="59"/>
    <row r="708" ht="15.75" customHeight="1" s="59"/>
    <row r="709" ht="15.75" customHeight="1" s="59"/>
    <row r="710" ht="15.75" customHeight="1" s="59"/>
    <row r="711" ht="15.75" customHeight="1" s="59"/>
    <row r="712" ht="15.75" customHeight="1" s="59"/>
    <row r="713" ht="15.75" customHeight="1" s="59"/>
    <row r="714" ht="15.75" customHeight="1" s="59"/>
    <row r="715" ht="15.75" customHeight="1" s="59"/>
    <row r="716" ht="15.75" customHeight="1" s="59"/>
    <row r="717" ht="15.75" customHeight="1" s="59"/>
    <row r="718" ht="15.75" customHeight="1" s="59"/>
    <row r="719" ht="15.75" customHeight="1" s="59"/>
    <row r="720" ht="15.75" customHeight="1" s="59"/>
    <row r="721" ht="15.75" customHeight="1" s="59"/>
    <row r="722" ht="15.75" customHeight="1" s="59"/>
    <row r="723" ht="15.75" customHeight="1" s="59"/>
    <row r="724" ht="15.75" customHeight="1" s="59"/>
    <row r="725" ht="15.75" customHeight="1" s="59"/>
    <row r="726" ht="15.75" customHeight="1" s="59"/>
    <row r="727" ht="15.75" customHeight="1" s="59"/>
    <row r="728" ht="15.75" customHeight="1" s="59"/>
    <row r="729" ht="15.75" customHeight="1" s="59"/>
    <row r="730" ht="15.75" customHeight="1" s="59"/>
    <row r="731" ht="15.75" customHeight="1" s="59"/>
    <row r="732" ht="15.75" customHeight="1" s="59"/>
    <row r="733" ht="15.75" customHeight="1" s="59"/>
    <row r="734" ht="15.75" customHeight="1" s="59"/>
    <row r="735" ht="15.75" customHeight="1" s="59"/>
    <row r="736" ht="15.75" customHeight="1" s="59"/>
    <row r="737" ht="15.75" customHeight="1" s="59"/>
    <row r="738" ht="15.75" customHeight="1" s="59"/>
    <row r="739" ht="15.75" customHeight="1" s="59"/>
    <row r="740" ht="15.75" customHeight="1" s="59"/>
    <row r="741" ht="15.75" customHeight="1" s="59"/>
    <row r="742" ht="15.75" customHeight="1" s="59"/>
    <row r="743" ht="15.75" customHeight="1" s="59"/>
    <row r="744" ht="15.75" customHeight="1" s="59"/>
    <row r="745" ht="15.75" customHeight="1" s="59"/>
    <row r="746" ht="15.75" customHeight="1" s="59"/>
    <row r="747" ht="15.75" customHeight="1" s="59"/>
    <row r="748" ht="15.75" customHeight="1" s="59"/>
    <row r="749" ht="15.75" customHeight="1" s="59"/>
    <row r="750" ht="15.75" customHeight="1" s="59"/>
    <row r="751" ht="15.75" customHeight="1" s="59"/>
    <row r="752" ht="15.75" customHeight="1" s="59"/>
    <row r="753" ht="15.75" customHeight="1" s="59"/>
    <row r="754" ht="15.75" customHeight="1" s="59"/>
    <row r="755" ht="15.75" customHeight="1" s="59"/>
    <row r="756" ht="15.75" customHeight="1" s="59"/>
    <row r="757" ht="15.75" customHeight="1" s="59"/>
    <row r="758" ht="15.75" customHeight="1" s="59"/>
    <row r="759" ht="15.75" customHeight="1" s="59"/>
    <row r="760" ht="15.75" customHeight="1" s="59"/>
    <row r="761" ht="15.75" customHeight="1" s="59"/>
    <row r="762" ht="15.75" customHeight="1" s="59"/>
    <row r="763" ht="15.75" customHeight="1" s="59"/>
    <row r="764" ht="15.75" customHeight="1" s="59"/>
    <row r="765" ht="15.75" customHeight="1" s="59"/>
    <row r="766" ht="15.75" customHeight="1" s="59"/>
    <row r="767" ht="15.75" customHeight="1" s="59"/>
    <row r="768" ht="15.75" customHeight="1" s="59"/>
    <row r="769" ht="15.75" customHeight="1" s="59"/>
    <row r="770" ht="15.75" customHeight="1" s="59"/>
    <row r="771" ht="15.75" customHeight="1" s="59"/>
    <row r="772" ht="15.75" customHeight="1" s="59"/>
    <row r="773" ht="15.75" customHeight="1" s="59"/>
    <row r="774" ht="15.75" customHeight="1" s="59"/>
    <row r="775" ht="15.75" customHeight="1" s="59"/>
    <row r="776" ht="15.75" customHeight="1" s="59"/>
    <row r="777" ht="15.75" customHeight="1" s="59"/>
    <row r="778" ht="15.75" customHeight="1" s="59"/>
    <row r="779" ht="15.75" customHeight="1" s="59"/>
    <row r="780" ht="15.75" customHeight="1" s="59"/>
    <row r="781" ht="15.75" customHeight="1" s="59"/>
    <row r="782" ht="15.75" customHeight="1" s="59"/>
    <row r="783" ht="15.75" customHeight="1" s="59"/>
    <row r="784" ht="15.75" customHeight="1" s="59"/>
    <row r="785" ht="15.75" customHeight="1" s="59"/>
    <row r="786" ht="15.75" customHeight="1" s="59"/>
    <row r="787" ht="15.75" customHeight="1" s="59"/>
    <row r="788" ht="15.75" customHeight="1" s="59"/>
    <row r="789" ht="15.75" customHeight="1" s="59"/>
    <row r="790" ht="15.75" customHeight="1" s="59"/>
    <row r="791" ht="15.75" customHeight="1" s="59"/>
    <row r="792" ht="15.75" customHeight="1" s="59"/>
    <row r="793" ht="15.75" customHeight="1" s="59"/>
    <row r="794" ht="15.75" customHeight="1" s="59"/>
    <row r="795" ht="15.75" customHeight="1" s="59"/>
    <row r="796" ht="15.75" customHeight="1" s="59"/>
    <row r="797" ht="15.75" customHeight="1" s="59"/>
    <row r="798" ht="15.75" customHeight="1" s="59"/>
    <row r="799" ht="15.75" customHeight="1" s="59"/>
    <row r="800" ht="15.75" customHeight="1" s="59"/>
    <row r="801" ht="15.75" customHeight="1" s="59"/>
    <row r="802" ht="15.75" customHeight="1" s="59"/>
    <row r="803" ht="15.75" customHeight="1" s="59"/>
    <row r="804" ht="15.75" customHeight="1" s="59"/>
    <row r="805" ht="15.75" customHeight="1" s="59"/>
    <row r="806" ht="15.75" customHeight="1" s="59"/>
    <row r="807" ht="15.75" customHeight="1" s="59"/>
    <row r="808" ht="15.75" customHeight="1" s="59"/>
    <row r="809" ht="15.75" customHeight="1" s="59"/>
    <row r="810" ht="15.75" customHeight="1" s="59"/>
    <row r="811" ht="15.75" customHeight="1" s="59"/>
    <row r="812" ht="15.75" customHeight="1" s="59"/>
    <row r="813" ht="15.75" customHeight="1" s="59"/>
    <row r="814" ht="15.75" customHeight="1" s="59"/>
    <row r="815" ht="15.75" customHeight="1" s="59"/>
    <row r="816" ht="15.75" customHeight="1" s="59"/>
    <row r="817" ht="15.75" customHeight="1" s="59"/>
    <row r="818" ht="15.75" customHeight="1" s="59"/>
    <row r="819" ht="15.75" customHeight="1" s="59"/>
    <row r="820" ht="15.75" customHeight="1" s="59"/>
    <row r="821" ht="15.75" customHeight="1" s="59"/>
    <row r="822" ht="15.75" customHeight="1" s="59"/>
    <row r="823" ht="15.75" customHeight="1" s="59"/>
    <row r="824" ht="15.75" customHeight="1" s="59"/>
    <row r="825" ht="15.75" customHeight="1" s="59"/>
    <row r="826" ht="15.75" customHeight="1" s="59"/>
    <row r="827" ht="15.75" customHeight="1" s="59"/>
    <row r="828" ht="15.75" customHeight="1" s="59"/>
    <row r="829" ht="15.75" customHeight="1" s="59"/>
    <row r="830" ht="15.75" customHeight="1" s="59"/>
    <row r="831" ht="15.75" customHeight="1" s="59"/>
    <row r="832" ht="15.75" customHeight="1" s="59"/>
    <row r="833" ht="15.75" customHeight="1" s="59"/>
    <row r="834" ht="15.75" customHeight="1" s="59"/>
    <row r="835" ht="15.75" customHeight="1" s="59"/>
    <row r="836" ht="15.75" customHeight="1" s="59"/>
    <row r="837" ht="15.75" customHeight="1" s="59"/>
    <row r="838" ht="15.75" customHeight="1" s="59"/>
    <row r="839" ht="15.75" customHeight="1" s="59"/>
    <row r="840" ht="15.75" customHeight="1" s="59"/>
    <row r="841" ht="15.75" customHeight="1" s="59"/>
    <row r="842" ht="15.75" customHeight="1" s="59"/>
    <row r="843" ht="15.75" customHeight="1" s="59"/>
    <row r="844" ht="15.75" customHeight="1" s="59"/>
    <row r="845" ht="15.75" customHeight="1" s="59"/>
    <row r="846" ht="15.75" customHeight="1" s="59"/>
    <row r="847" ht="15.75" customHeight="1" s="59"/>
    <row r="848" ht="15.75" customHeight="1" s="59"/>
    <row r="849" ht="15.75" customHeight="1" s="59"/>
    <row r="850" ht="15.75" customHeight="1" s="59"/>
    <row r="851" ht="15.75" customHeight="1" s="59"/>
    <row r="852" ht="15.75" customHeight="1" s="59"/>
    <row r="853" ht="15.75" customHeight="1" s="59"/>
    <row r="854" ht="15.75" customHeight="1" s="59"/>
    <row r="855" ht="15.75" customHeight="1" s="59"/>
    <row r="856" ht="15.75" customHeight="1" s="59"/>
    <row r="857" ht="15.75" customHeight="1" s="59"/>
    <row r="858" ht="15.75" customHeight="1" s="59"/>
    <row r="859" ht="15.75" customHeight="1" s="59"/>
    <row r="860" ht="15.75" customHeight="1" s="59"/>
    <row r="861" ht="15.75" customHeight="1" s="59"/>
    <row r="862" ht="15.75" customHeight="1" s="59"/>
    <row r="863" ht="15.75" customHeight="1" s="59"/>
    <row r="864" ht="15.75" customHeight="1" s="59"/>
    <row r="865" ht="15.75" customHeight="1" s="59"/>
    <row r="866" ht="15.75" customHeight="1" s="59"/>
    <row r="867" ht="15.75" customHeight="1" s="59"/>
    <row r="868" ht="15.75" customHeight="1" s="59"/>
    <row r="869" ht="15.75" customHeight="1" s="59"/>
    <row r="870" ht="15.75" customHeight="1" s="59"/>
    <row r="871" ht="15.75" customHeight="1" s="59"/>
    <row r="872" ht="15.75" customHeight="1" s="59"/>
    <row r="873" ht="15.75" customHeight="1" s="59"/>
    <row r="874" ht="15.75" customHeight="1" s="59"/>
    <row r="875" ht="15.75" customHeight="1" s="59"/>
    <row r="876" ht="15.75" customHeight="1" s="59"/>
    <row r="877" ht="15.75" customHeight="1" s="59"/>
    <row r="878" ht="15.75" customHeight="1" s="59"/>
    <row r="879" ht="15.75" customHeight="1" s="59"/>
    <row r="880" ht="15.75" customHeight="1" s="59"/>
    <row r="881" ht="15.75" customHeight="1" s="59"/>
    <row r="882" ht="15.75" customHeight="1" s="59"/>
    <row r="883" ht="15.75" customHeight="1" s="59"/>
    <row r="884" ht="15.75" customHeight="1" s="59"/>
    <row r="885" ht="15.75" customHeight="1" s="59"/>
    <row r="886" ht="15.75" customHeight="1" s="59"/>
    <row r="887" ht="15.75" customHeight="1" s="59"/>
    <row r="888" ht="15.75" customHeight="1" s="59"/>
    <row r="889" ht="15.75" customHeight="1" s="59"/>
    <row r="890" ht="15.75" customHeight="1" s="59"/>
    <row r="891" ht="15.75" customHeight="1" s="59"/>
    <row r="892" ht="15.75" customHeight="1" s="59"/>
    <row r="893" ht="15.75" customHeight="1" s="59"/>
    <row r="894" ht="15.75" customHeight="1" s="59"/>
    <row r="895" ht="15.75" customHeight="1" s="59"/>
    <row r="896" ht="15.75" customHeight="1" s="59"/>
    <row r="897" ht="15.75" customHeight="1" s="59"/>
    <row r="898" ht="15.75" customHeight="1" s="59"/>
    <row r="899" ht="15.75" customHeight="1" s="59"/>
    <row r="900" ht="15.75" customHeight="1" s="59"/>
    <row r="901" ht="15.75" customHeight="1" s="59"/>
    <row r="902" ht="15.75" customHeight="1" s="59"/>
    <row r="903" ht="15.75" customHeight="1" s="59"/>
    <row r="904" ht="15.75" customHeight="1" s="59"/>
    <row r="905" ht="15.75" customHeight="1" s="59"/>
    <row r="906" ht="15.75" customHeight="1" s="59"/>
    <row r="907" ht="15.75" customHeight="1" s="59"/>
    <row r="908" ht="15.75" customHeight="1" s="59"/>
    <row r="909" ht="15.75" customHeight="1" s="59"/>
    <row r="910" ht="15.75" customHeight="1" s="59"/>
    <row r="911" ht="15.75" customHeight="1" s="59"/>
    <row r="912" ht="15.75" customHeight="1" s="59"/>
    <row r="913" ht="15.75" customHeight="1" s="59"/>
    <row r="914" ht="15.75" customHeight="1" s="59"/>
    <row r="915" ht="15.75" customHeight="1" s="59"/>
    <row r="916" ht="15.75" customHeight="1" s="59"/>
    <row r="917" ht="15.75" customHeight="1" s="59"/>
    <row r="918" ht="15.75" customHeight="1" s="59"/>
    <row r="919" ht="15.75" customHeight="1" s="59"/>
    <row r="920" ht="15.75" customHeight="1" s="59"/>
    <row r="921" ht="15.75" customHeight="1" s="59"/>
    <row r="922" ht="15.75" customHeight="1" s="59"/>
    <row r="923" ht="15.75" customHeight="1" s="59"/>
    <row r="924" ht="15.75" customHeight="1" s="59"/>
    <row r="925" ht="15.75" customHeight="1" s="59"/>
    <row r="926" ht="15.75" customHeight="1" s="59"/>
    <row r="927" ht="15.75" customHeight="1" s="59"/>
    <row r="928" ht="15.75" customHeight="1" s="59"/>
    <row r="929" ht="15.75" customHeight="1" s="59"/>
    <row r="930" ht="15.75" customHeight="1" s="59"/>
    <row r="931" ht="15.75" customHeight="1" s="59"/>
    <row r="932" ht="15.75" customHeight="1" s="59"/>
    <row r="933" ht="15.75" customHeight="1" s="59"/>
    <row r="934" ht="15.75" customHeight="1" s="59"/>
    <row r="935" ht="15.75" customHeight="1" s="59"/>
    <row r="936" ht="15.75" customHeight="1" s="59"/>
    <row r="937" ht="15.75" customHeight="1" s="59"/>
    <row r="938" ht="15.75" customHeight="1" s="59"/>
    <row r="939" ht="15.75" customHeight="1" s="59"/>
    <row r="940" ht="15.75" customHeight="1" s="59"/>
    <row r="941" ht="15.75" customHeight="1" s="59"/>
    <row r="942" ht="15.75" customHeight="1" s="59"/>
    <row r="943" ht="15.75" customHeight="1" s="59"/>
    <row r="944" ht="15.75" customHeight="1" s="59"/>
    <row r="945" ht="15.75" customHeight="1" s="59"/>
    <row r="946" ht="15.75" customHeight="1" s="59"/>
    <row r="947" ht="15.75" customHeight="1" s="59"/>
    <row r="948" ht="15.75" customHeight="1" s="59"/>
    <row r="949" ht="15.75" customHeight="1" s="59"/>
    <row r="950" ht="15.75" customHeight="1" s="59"/>
    <row r="951" ht="15.75" customHeight="1" s="59"/>
    <row r="952" ht="15.75" customHeight="1" s="59"/>
    <row r="953" ht="15.75" customHeight="1" s="59"/>
    <row r="954" ht="15.75" customHeight="1" s="59"/>
    <row r="955" ht="15.75" customHeight="1" s="59"/>
    <row r="956" ht="15.75" customHeight="1" s="59"/>
    <row r="957" ht="15.75" customHeight="1" s="59"/>
    <row r="958" ht="15.75" customHeight="1" s="59"/>
    <row r="959" ht="15.75" customHeight="1" s="59"/>
    <row r="960" ht="15.75" customHeight="1" s="59"/>
    <row r="961" ht="15.75" customHeight="1" s="59"/>
    <row r="962" ht="15.75" customHeight="1" s="59"/>
    <row r="963" ht="15.75" customHeight="1" s="59"/>
    <row r="964" ht="15.75" customHeight="1" s="59"/>
    <row r="965" ht="15.75" customHeight="1" s="59"/>
    <row r="966" ht="15.75" customHeight="1" s="59"/>
    <row r="967" ht="15.75" customHeight="1" s="59"/>
    <row r="968" ht="15.75" customHeight="1" s="59"/>
    <row r="969" ht="15.75" customHeight="1" s="59"/>
    <row r="970" ht="15.75" customHeight="1" s="59"/>
    <row r="971" ht="15.75" customHeight="1" s="59"/>
    <row r="972" ht="15.75" customHeight="1" s="59"/>
    <row r="973" ht="15.75" customHeight="1" s="59"/>
    <row r="974" ht="15.75" customHeight="1" s="59"/>
    <row r="975" ht="15.75" customHeight="1" s="59"/>
    <row r="976" ht="15.75" customHeight="1" s="59"/>
    <row r="977" ht="15.75" customHeight="1" s="59"/>
    <row r="978" ht="15.75" customHeight="1" s="59"/>
    <row r="979" ht="15.75" customHeight="1" s="59"/>
    <row r="980" ht="15.75" customHeight="1" s="59"/>
    <row r="981" ht="15.75" customHeight="1" s="59"/>
    <row r="982" ht="15.75" customHeight="1" s="59"/>
    <row r="983" ht="15.75" customHeight="1" s="59"/>
    <row r="984" ht="15.75" customHeight="1" s="59"/>
    <row r="985" ht="15.75" customHeight="1" s="59"/>
    <row r="986" ht="15.75" customHeight="1" s="59"/>
    <row r="987" ht="15.75" customHeight="1" s="59"/>
    <row r="988" ht="15.75" customHeight="1" s="59"/>
    <row r="989" ht="15.75" customHeight="1" s="59"/>
    <row r="990" ht="15.75" customHeight="1" s="59"/>
    <row r="991" ht="15.75" customHeight="1" s="59"/>
    <row r="992" ht="15.75" customHeight="1" s="59"/>
    <row r="993" ht="15.75" customHeight="1" s="59"/>
    <row r="994" ht="15.75" customHeight="1" s="59"/>
    <row r="995" ht="15.75" customHeight="1" s="59"/>
    <row r="996" ht="15.75" customHeight="1" s="59"/>
    <row r="997" ht="15.75" customHeight="1" s="59"/>
    <row r="998" ht="15.75" customHeight="1" s="59"/>
    <row r="999" ht="15.75" customHeight="1" s="59"/>
    <row r="1000" ht="15.75" customHeight="1" s="59"/>
  </sheetData>
  <mergeCells count="57">
    <mergeCell ref="D2:F2"/>
    <mergeCell ref="L69:R69"/>
    <mergeCell ref="G2:K2"/>
    <mergeCell ref="E69:G69"/>
    <mergeCell ref="E65:G65"/>
    <mergeCell ref="E78:G78"/>
    <mergeCell ref="L72:R72"/>
    <mergeCell ref="E74:G74"/>
    <mergeCell ref="A1:B1"/>
    <mergeCell ref="D7:F7"/>
    <mergeCell ref="A6:B6"/>
    <mergeCell ref="B12:C12"/>
    <mergeCell ref="E77:G77"/>
    <mergeCell ref="L65:R65"/>
    <mergeCell ref="G7:K7"/>
    <mergeCell ref="A7:B7"/>
    <mergeCell ref="B11:C11"/>
    <mergeCell ref="L77:R77"/>
    <mergeCell ref="L70:R70"/>
    <mergeCell ref="D4:F4"/>
    <mergeCell ref="D3:F3"/>
    <mergeCell ref="E70:G70"/>
    <mergeCell ref="B14:C14"/>
    <mergeCell ref="L67:R67"/>
    <mergeCell ref="G6:K6"/>
    <mergeCell ref="E76:G76"/>
    <mergeCell ref="A3:B3"/>
    <mergeCell ref="B13:C13"/>
    <mergeCell ref="L66:R66"/>
    <mergeCell ref="G3:K3"/>
    <mergeCell ref="E72:G72"/>
    <mergeCell ref="A2:B2"/>
    <mergeCell ref="L75:R75"/>
    <mergeCell ref="E66:G66"/>
    <mergeCell ref="L1:S8"/>
    <mergeCell ref="D5:F5"/>
    <mergeCell ref="E75:G75"/>
    <mergeCell ref="B10:C10"/>
    <mergeCell ref="A5:B5"/>
    <mergeCell ref="L78:R78"/>
    <mergeCell ref="G5:K5"/>
    <mergeCell ref="L68:R68"/>
    <mergeCell ref="E68:G68"/>
    <mergeCell ref="D1:F1"/>
    <mergeCell ref="G4:K4"/>
    <mergeCell ref="E71:G71"/>
    <mergeCell ref="L71:R71"/>
    <mergeCell ref="A4:B4"/>
    <mergeCell ref="L74:R74"/>
    <mergeCell ref="E67:G67"/>
    <mergeCell ref="G1:K1"/>
    <mergeCell ref="L64:R64"/>
    <mergeCell ref="E73:G73"/>
    <mergeCell ref="L73:R73"/>
    <mergeCell ref="E64:G64"/>
    <mergeCell ref="L76:R76"/>
    <mergeCell ref="D6:F6"/>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41"/>
  <sheetViews>
    <sheetView showGridLines="1" workbookViewId="0">
      <selection activeCell="A1" sqref="A1"/>
    </sheetView>
  </sheetViews>
  <sheetFormatPr baseColWidth="8" defaultRowHeight="15"/>
  <sheetData>
    <row r="1">
      <c r="A1" t="inlineStr">
        <is>
          <t>PART
NUMBER</t>
        </is>
      </c>
      <c r="B1" t="inlineStr">
        <is>
          <t>NAME</t>
        </is>
      </c>
      <c r="C1" t="inlineStr">
        <is>
          <t>MATERIALS</t>
        </is>
      </c>
      <c r="F1" t="inlineStr">
        <is>
          <t>CODE</t>
        </is>
      </c>
      <c r="G1" t="inlineStr">
        <is>
          <t>MATERIAL</t>
        </is>
      </c>
      <c r="H1" t="inlineStr">
        <is>
          <t>THICKNESS mm</t>
        </is>
      </c>
      <c r="I1" t="inlineStr">
        <is>
          <t>VENEER</t>
        </is>
      </c>
      <c r="J1" t="inlineStr">
        <is>
          <t>DESCRIPTION</t>
        </is>
      </c>
    </row>
    <row r="2">
      <c r="A2" t="n">
        <v>1</v>
      </c>
      <c r="B2" t="inlineStr">
        <is>
          <t>BOTTOM STRETCHER FRONT / BACK</t>
        </is>
      </c>
      <c r="C2" t="inlineStr">
        <is>
          <t>A</t>
        </is>
      </c>
      <c r="E2" t="inlineStr">
        <is>
          <t>A</t>
        </is>
      </c>
      <c r="F2" t="inlineStr">
        <is>
          <t>A</t>
        </is>
      </c>
      <c r="G2" t="inlineStr">
        <is>
          <t>Solid wood</t>
        </is>
      </c>
      <c r="J2" t="inlineStr">
        <is>
          <t>Solid wood</t>
        </is>
      </c>
    </row>
    <row r="3">
      <c r="A3" t="n">
        <v>2</v>
      </c>
      <c r="B3" t="inlineStr">
        <is>
          <t>BOTTOM STRETCHER LEFT / RIGHT</t>
        </is>
      </c>
      <c r="C3" t="inlineStr">
        <is>
          <t>A</t>
        </is>
      </c>
      <c r="E3" t="inlineStr">
        <is>
          <t>A</t>
        </is>
      </c>
      <c r="F3" t="inlineStr">
        <is>
          <t>A1</t>
        </is>
      </c>
      <c r="G3" t="inlineStr">
        <is>
          <t>Solid wood laminated</t>
        </is>
      </c>
      <c r="J3" t="inlineStr">
        <is>
          <t>Solid wood laminated</t>
        </is>
      </c>
    </row>
    <row r="4">
      <c r="A4" t="n">
        <v>3</v>
      </c>
      <c r="B4" t="inlineStr">
        <is>
          <t>LEG (VERTICAL)</t>
        </is>
      </c>
      <c r="C4" t="inlineStr">
        <is>
          <t>A</t>
        </is>
      </c>
      <c r="E4" t="inlineStr">
        <is>
          <t>B</t>
        </is>
      </c>
      <c r="F4" t="inlineStr">
        <is>
          <t>B-3-0X</t>
        </is>
      </c>
      <c r="G4" t="inlineStr">
        <is>
          <t>Plywood</t>
        </is>
      </c>
      <c r="H4" t="n">
        <v>3</v>
      </c>
      <c r="I4" t="inlineStr">
        <is>
          <t>0X</t>
        </is>
      </c>
      <c r="J4" t="inlineStr">
        <is>
          <t>Plywood 3 mm, no veneer</t>
        </is>
      </c>
    </row>
    <row r="5">
      <c r="A5" t="n">
        <v>4</v>
      </c>
      <c r="B5" t="inlineStr">
        <is>
          <t>SHELFING</t>
        </is>
      </c>
      <c r="C5" t="inlineStr">
        <is>
          <t>-</t>
        </is>
      </c>
      <c r="E5" t="inlineStr">
        <is>
          <t>B</t>
        </is>
      </c>
      <c r="F5" t="inlineStr">
        <is>
          <t>B-3-1X</t>
        </is>
      </c>
      <c r="G5" t="inlineStr">
        <is>
          <t>Plywood</t>
        </is>
      </c>
      <c r="H5" t="n">
        <v>3</v>
      </c>
      <c r="I5" t="inlineStr">
        <is>
          <t>1X</t>
        </is>
      </c>
      <c r="J5" t="inlineStr">
        <is>
          <t>Plywood 3 mm, veneer 1 face</t>
        </is>
      </c>
    </row>
    <row r="6">
      <c r="A6" t="n">
        <v>5</v>
      </c>
      <c r="B6" t="inlineStr">
        <is>
          <t>DIVIDER</t>
        </is>
      </c>
      <c r="C6" t="inlineStr">
        <is>
          <t>B-9-0X</t>
        </is>
      </c>
      <c r="E6" t="inlineStr">
        <is>
          <t>B</t>
        </is>
      </c>
      <c r="F6" t="inlineStr">
        <is>
          <t>B-3-2X</t>
        </is>
      </c>
      <c r="G6" t="inlineStr">
        <is>
          <t>Plywood</t>
        </is>
      </c>
      <c r="H6" t="n">
        <v>3</v>
      </c>
      <c r="I6" t="inlineStr">
        <is>
          <t>2X</t>
        </is>
      </c>
      <c r="J6" t="inlineStr">
        <is>
          <t>Plywood 3 mm, veneer 2 faces</t>
        </is>
      </c>
    </row>
    <row r="7">
      <c r="A7" t="n">
        <v>6</v>
      </c>
      <c r="B7" t="inlineStr">
        <is>
          <t>FRONT DRAWER</t>
        </is>
      </c>
      <c r="C7" t="inlineStr">
        <is>
          <t>A</t>
        </is>
      </c>
      <c r="E7" t="inlineStr">
        <is>
          <t>B</t>
        </is>
      </c>
      <c r="F7" t="inlineStr">
        <is>
          <t>B-6-0X</t>
        </is>
      </c>
      <c r="G7" t="inlineStr">
        <is>
          <t>Plywood</t>
        </is>
      </c>
      <c r="H7" t="n">
        <v>6</v>
      </c>
      <c r="I7" t="inlineStr">
        <is>
          <t>0X</t>
        </is>
      </c>
      <c r="J7" t="inlineStr">
        <is>
          <t>Plywood 6 mm, no veneer</t>
        </is>
      </c>
    </row>
    <row r="8">
      <c r="A8" t="n">
        <v>7</v>
      </c>
      <c r="B8" t="inlineStr">
        <is>
          <t>INNER DRAWER</t>
        </is>
      </c>
      <c r="C8" t="inlineStr">
        <is>
          <t>B-6-1X</t>
        </is>
      </c>
      <c r="E8" t="inlineStr">
        <is>
          <t>B</t>
        </is>
      </c>
      <c r="F8" t="inlineStr">
        <is>
          <t>B-6-1X</t>
        </is>
      </c>
      <c r="G8" t="inlineStr">
        <is>
          <t>Plywood</t>
        </is>
      </c>
      <c r="H8" t="n">
        <v>6</v>
      </c>
      <c r="I8" t="inlineStr">
        <is>
          <t>1X</t>
        </is>
      </c>
      <c r="J8" t="inlineStr">
        <is>
          <t>Plywood 6 mm, veneer 1 face</t>
        </is>
      </c>
    </row>
    <row r="9">
      <c r="A9" t="n">
        <v>8</v>
      </c>
      <c r="B9" t="inlineStr">
        <is>
          <t>SIDE DRAWER</t>
        </is>
      </c>
      <c r="C9" t="inlineStr">
        <is>
          <t>B-12-0X</t>
        </is>
      </c>
      <c r="E9" t="inlineStr">
        <is>
          <t>B</t>
        </is>
      </c>
      <c r="F9" t="inlineStr">
        <is>
          <t>B-6-2X</t>
        </is>
      </c>
      <c r="G9" t="inlineStr">
        <is>
          <t>Plywood</t>
        </is>
      </c>
      <c r="H9" t="n">
        <v>6</v>
      </c>
      <c r="I9" t="inlineStr">
        <is>
          <t>2X</t>
        </is>
      </c>
      <c r="J9" t="inlineStr">
        <is>
          <t>Plywood 6 mm, veneer 2 faces</t>
        </is>
      </c>
    </row>
    <row r="10">
      <c r="A10" t="n">
        <v>9</v>
      </c>
      <c r="B10" t="inlineStr">
        <is>
          <t>BACK DRAWER</t>
        </is>
      </c>
      <c r="C10" t="inlineStr">
        <is>
          <t>B-12-0X</t>
        </is>
      </c>
      <c r="E10" t="inlineStr">
        <is>
          <t>B</t>
        </is>
      </c>
      <c r="F10" t="inlineStr">
        <is>
          <t>B-9-0X</t>
        </is>
      </c>
      <c r="G10" t="inlineStr">
        <is>
          <t>Plywood</t>
        </is>
      </c>
      <c r="H10" t="n">
        <v>9</v>
      </c>
      <c r="I10" t="inlineStr">
        <is>
          <t>0X</t>
        </is>
      </c>
      <c r="J10" t="inlineStr">
        <is>
          <t>Plywood 9 mm, no veneer</t>
        </is>
      </c>
    </row>
    <row r="11">
      <c r="A11" t="n">
        <v>10</v>
      </c>
      <c r="B11" t="inlineStr">
        <is>
          <t>BOTTOM DRAWER</t>
        </is>
      </c>
      <c r="C11" t="inlineStr">
        <is>
          <t>B-6-0X</t>
        </is>
      </c>
      <c r="E11" t="inlineStr">
        <is>
          <t>B</t>
        </is>
      </c>
      <c r="F11" t="inlineStr">
        <is>
          <t>B-9-1X</t>
        </is>
      </c>
      <c r="G11" t="inlineStr">
        <is>
          <t>Plywood</t>
        </is>
      </c>
      <c r="H11" t="n">
        <v>9</v>
      </c>
      <c r="I11" t="inlineStr">
        <is>
          <t>1X</t>
        </is>
      </c>
      <c r="J11" t="inlineStr">
        <is>
          <t>Plywood 9 mm, veneer 1 face</t>
        </is>
      </c>
    </row>
    <row r="12">
      <c r="A12" t="n">
        <v>11</v>
      </c>
      <c r="B12" t="inlineStr">
        <is>
          <t>DOOR PANEL</t>
        </is>
      </c>
      <c r="C12" t="inlineStr">
        <is>
          <t>-</t>
        </is>
      </c>
      <c r="E12" t="inlineStr">
        <is>
          <t>B</t>
        </is>
      </c>
      <c r="F12" t="inlineStr">
        <is>
          <t>B-9-2X</t>
        </is>
      </c>
      <c r="G12" t="inlineStr">
        <is>
          <t>Plywood</t>
        </is>
      </c>
      <c r="H12" t="n">
        <v>9</v>
      </c>
      <c r="I12" t="inlineStr">
        <is>
          <t>2X</t>
        </is>
      </c>
      <c r="J12" t="inlineStr">
        <is>
          <t>Plywood 9 mm, veneer 2 faces</t>
        </is>
      </c>
    </row>
    <row r="13">
      <c r="A13" t="n">
        <v>12</v>
      </c>
      <c r="B13" t="inlineStr">
        <is>
          <t>BACK PANEL</t>
        </is>
      </c>
      <c r="C13" t="inlineStr">
        <is>
          <t>B-9-0X</t>
        </is>
      </c>
      <c r="E13" t="inlineStr">
        <is>
          <t>B</t>
        </is>
      </c>
      <c r="F13" t="inlineStr">
        <is>
          <t>B-12-0X</t>
        </is>
      </c>
      <c r="G13" t="inlineStr">
        <is>
          <t>Plywood</t>
        </is>
      </c>
      <c r="H13" t="n">
        <v>12</v>
      </c>
      <c r="I13" t="inlineStr">
        <is>
          <t>0X</t>
        </is>
      </c>
      <c r="J13" t="inlineStr">
        <is>
          <t>Plywood 12 mm, no veneer</t>
        </is>
      </c>
    </row>
    <row r="14">
      <c r="A14" t="n">
        <v>13</v>
      </c>
      <c r="B14" t="inlineStr">
        <is>
          <t>SIDE PANEL</t>
        </is>
      </c>
      <c r="C14" t="inlineStr">
        <is>
          <t>B-12-1X</t>
        </is>
      </c>
      <c r="E14" t="inlineStr">
        <is>
          <t>B</t>
        </is>
      </c>
      <c r="F14" t="inlineStr">
        <is>
          <t>B-12-1X</t>
        </is>
      </c>
      <c r="G14" t="inlineStr">
        <is>
          <t>Plywood</t>
        </is>
      </c>
      <c r="H14" t="n">
        <v>12</v>
      </c>
      <c r="I14" t="inlineStr">
        <is>
          <t>1X</t>
        </is>
      </c>
      <c r="J14" t="inlineStr">
        <is>
          <t>Plywood 12 mm, veneer 1 face</t>
        </is>
      </c>
    </row>
    <row r="15">
      <c r="A15" t="n">
        <v>14</v>
      </c>
      <c r="B15" t="inlineStr">
        <is>
          <t>FRONT RAIL</t>
        </is>
      </c>
      <c r="C15" t="inlineStr">
        <is>
          <t>A</t>
        </is>
      </c>
      <c r="E15" t="inlineStr">
        <is>
          <t>B</t>
        </is>
      </c>
      <c r="F15" t="inlineStr">
        <is>
          <t>B-12-2X</t>
        </is>
      </c>
      <c r="G15" t="inlineStr">
        <is>
          <t>Plywood</t>
        </is>
      </c>
      <c r="H15" t="n">
        <v>12</v>
      </c>
      <c r="I15" t="inlineStr">
        <is>
          <t>2X</t>
        </is>
      </c>
      <c r="J15" t="inlineStr">
        <is>
          <t>Plywood 12 mm, veneer 2 faces</t>
        </is>
      </c>
    </row>
    <row r="16">
      <c r="A16" t="n">
        <v>15</v>
      </c>
      <c r="B16" t="inlineStr">
        <is>
          <t>SIDE RAIL</t>
        </is>
      </c>
      <c r="C16" t="inlineStr">
        <is>
          <t>A</t>
        </is>
      </c>
      <c r="E16" t="inlineStr">
        <is>
          <t>B</t>
        </is>
      </c>
      <c r="F16" t="inlineStr">
        <is>
          <t>B-15-0X</t>
        </is>
      </c>
      <c r="G16" t="inlineStr">
        <is>
          <t>Plywood</t>
        </is>
      </c>
      <c r="H16" t="n">
        <v>15</v>
      </c>
      <c r="I16" t="inlineStr">
        <is>
          <t>0X</t>
        </is>
      </c>
      <c r="J16" t="inlineStr">
        <is>
          <t>Plywood 15 mm, no veneer</t>
        </is>
      </c>
    </row>
    <row r="17">
      <c r="A17" t="n">
        <v>16</v>
      </c>
      <c r="B17" t="inlineStr">
        <is>
          <t>BACK RAIL</t>
        </is>
      </c>
      <c r="C17" t="inlineStr">
        <is>
          <t>A</t>
        </is>
      </c>
      <c r="E17" t="inlineStr">
        <is>
          <t>B</t>
        </is>
      </c>
      <c r="F17" t="inlineStr">
        <is>
          <t>B-15-1X</t>
        </is>
      </c>
      <c r="G17" t="inlineStr">
        <is>
          <t>Plywood</t>
        </is>
      </c>
      <c r="H17" t="n">
        <v>15</v>
      </c>
      <c r="I17" t="inlineStr">
        <is>
          <t>1X</t>
        </is>
      </c>
      <c r="J17" t="inlineStr">
        <is>
          <t>Plywood 15 mm, veneer 1 face</t>
        </is>
      </c>
    </row>
    <row r="18">
      <c r="A18" t="n">
        <v>17</v>
      </c>
      <c r="B18" t="inlineStr">
        <is>
          <t>VERTICAL SUPPORT</t>
        </is>
      </c>
      <c r="C18" t="inlineStr">
        <is>
          <t>A</t>
        </is>
      </c>
      <c r="E18" t="inlineStr">
        <is>
          <t>B</t>
        </is>
      </c>
      <c r="F18" t="inlineStr">
        <is>
          <t>B-15-2X</t>
        </is>
      </c>
      <c r="G18" t="inlineStr">
        <is>
          <t>Plywood</t>
        </is>
      </c>
      <c r="H18" t="n">
        <v>15</v>
      </c>
      <c r="I18" t="inlineStr">
        <is>
          <t>2X</t>
        </is>
      </c>
      <c r="J18" t="inlineStr">
        <is>
          <t>Plywood 15 mm, veneer 2 faces</t>
        </is>
      </c>
    </row>
    <row r="19">
      <c r="A19" t="n">
        <v>18</v>
      </c>
      <c r="B19" t="inlineStr">
        <is>
          <t>HORIZONTAL SUPPORT</t>
        </is>
      </c>
      <c r="C19" t="inlineStr">
        <is>
          <t>A / B-9-0X / B-18-0X</t>
        </is>
      </c>
      <c r="E19" t="inlineStr">
        <is>
          <t>B</t>
        </is>
      </c>
      <c r="F19" t="inlineStr">
        <is>
          <t>B-18-0X</t>
        </is>
      </c>
      <c r="G19" t="inlineStr">
        <is>
          <t>Plywood</t>
        </is>
      </c>
      <c r="H19" t="n">
        <v>18</v>
      </c>
      <c r="I19" t="inlineStr">
        <is>
          <t>0X</t>
        </is>
      </c>
      <c r="J19" t="inlineStr">
        <is>
          <t>Plywood 18 mm, no veneer</t>
        </is>
      </c>
    </row>
    <row r="20">
      <c r="A20" t="n">
        <v>19</v>
      </c>
      <c r="B20" t="inlineStr">
        <is>
          <t>TOP STRETCHER</t>
        </is>
      </c>
      <c r="C20" t="inlineStr">
        <is>
          <t>A</t>
        </is>
      </c>
      <c r="E20" t="inlineStr">
        <is>
          <t>B</t>
        </is>
      </c>
      <c r="F20" t="inlineStr">
        <is>
          <t>B-18-1X</t>
        </is>
      </c>
      <c r="G20" t="inlineStr">
        <is>
          <t>Plywood</t>
        </is>
      </c>
      <c r="H20" t="n">
        <v>18</v>
      </c>
      <c r="I20" t="inlineStr">
        <is>
          <t>1X</t>
        </is>
      </c>
      <c r="J20" t="inlineStr">
        <is>
          <t>Plywood 18 mm, veneer 1 face</t>
        </is>
      </c>
    </row>
    <row r="21">
      <c r="A21" t="n">
        <v>20</v>
      </c>
      <c r="B21" t="inlineStr">
        <is>
          <t>TOP PANEL</t>
        </is>
      </c>
      <c r="C21" t="inlineStr">
        <is>
          <t>B-18-1X</t>
        </is>
      </c>
      <c r="E21" t="inlineStr">
        <is>
          <t>B</t>
        </is>
      </c>
      <c r="F21" t="inlineStr">
        <is>
          <t>B-18-2X</t>
        </is>
      </c>
      <c r="G21" t="inlineStr">
        <is>
          <t>Plywood</t>
        </is>
      </c>
      <c r="H21" t="n">
        <v>18</v>
      </c>
      <c r="I21" t="inlineStr">
        <is>
          <t>2X</t>
        </is>
      </c>
      <c r="J21" t="inlineStr">
        <is>
          <t>Plywood 18 mm, veneer 2 faces</t>
        </is>
      </c>
    </row>
    <row r="22">
      <c r="E22" t="inlineStr">
        <is>
          <t>C</t>
        </is>
      </c>
      <c r="F22" t="inlineStr">
        <is>
          <t>C-3-0X</t>
        </is>
      </c>
      <c r="G22" t="inlineStr">
        <is>
          <t>MDF</t>
        </is>
      </c>
      <c r="H22" t="n">
        <v>3</v>
      </c>
      <c r="I22" t="inlineStr">
        <is>
          <t>0X</t>
        </is>
      </c>
      <c r="J22" t="inlineStr">
        <is>
          <t>MDF 3 mm, no veneer</t>
        </is>
      </c>
    </row>
    <row r="23">
      <c r="E23" t="inlineStr">
        <is>
          <t>C</t>
        </is>
      </c>
      <c r="F23" t="inlineStr">
        <is>
          <t>C-3-1X</t>
        </is>
      </c>
      <c r="G23" t="inlineStr">
        <is>
          <t>MDF</t>
        </is>
      </c>
      <c r="H23" t="n">
        <v>3</v>
      </c>
      <c r="I23" t="inlineStr">
        <is>
          <t>1X</t>
        </is>
      </c>
      <c r="J23" t="inlineStr">
        <is>
          <t>MDF 3 mm, veneer 1 face</t>
        </is>
      </c>
    </row>
    <row r="24">
      <c r="E24" t="inlineStr">
        <is>
          <t>C</t>
        </is>
      </c>
      <c r="F24" t="inlineStr">
        <is>
          <t>C-3-2X</t>
        </is>
      </c>
      <c r="G24" t="inlineStr">
        <is>
          <t>MDF</t>
        </is>
      </c>
      <c r="H24" t="n">
        <v>3</v>
      </c>
      <c r="I24" t="inlineStr">
        <is>
          <t>2X</t>
        </is>
      </c>
      <c r="J24" t="inlineStr">
        <is>
          <t>MDF 3 mm, veneer 2 faces</t>
        </is>
      </c>
    </row>
    <row r="25">
      <c r="E25" t="inlineStr">
        <is>
          <t>C</t>
        </is>
      </c>
      <c r="F25" t="inlineStr">
        <is>
          <t>C-6-0X</t>
        </is>
      </c>
      <c r="G25" t="inlineStr">
        <is>
          <t>MDF</t>
        </is>
      </c>
      <c r="H25" t="n">
        <v>6</v>
      </c>
      <c r="I25" t="inlineStr">
        <is>
          <t>0X</t>
        </is>
      </c>
      <c r="J25" t="inlineStr">
        <is>
          <t>MDF 6 mm, no veneer</t>
        </is>
      </c>
    </row>
    <row r="26">
      <c r="E26" t="inlineStr">
        <is>
          <t>C</t>
        </is>
      </c>
      <c r="F26" t="inlineStr">
        <is>
          <t>C-6-1X</t>
        </is>
      </c>
      <c r="G26" t="inlineStr">
        <is>
          <t>MDF</t>
        </is>
      </c>
      <c r="H26" t="n">
        <v>6</v>
      </c>
      <c r="I26" t="inlineStr">
        <is>
          <t>1X</t>
        </is>
      </c>
      <c r="J26" t="inlineStr">
        <is>
          <t>MDF 6 mm, veneer 1 face</t>
        </is>
      </c>
    </row>
    <row r="27">
      <c r="E27" t="inlineStr">
        <is>
          <t>C</t>
        </is>
      </c>
      <c r="F27" t="inlineStr">
        <is>
          <t>C-6-2X</t>
        </is>
      </c>
      <c r="G27" t="inlineStr">
        <is>
          <t>MDF</t>
        </is>
      </c>
      <c r="H27" t="n">
        <v>6</v>
      </c>
      <c r="I27" t="inlineStr">
        <is>
          <t>2X</t>
        </is>
      </c>
      <c r="J27" t="inlineStr">
        <is>
          <t>MDF 6 mm, veneer 2 faces</t>
        </is>
      </c>
    </row>
    <row r="28">
      <c r="E28" t="inlineStr">
        <is>
          <t>C</t>
        </is>
      </c>
      <c r="F28" t="inlineStr">
        <is>
          <t>C-9-0X</t>
        </is>
      </c>
      <c r="G28" t="inlineStr">
        <is>
          <t>MDF</t>
        </is>
      </c>
      <c r="H28" t="n">
        <v>9</v>
      </c>
      <c r="I28" t="inlineStr">
        <is>
          <t>0X</t>
        </is>
      </c>
      <c r="J28" t="inlineStr">
        <is>
          <t>MDF 9 mm, no veneer</t>
        </is>
      </c>
    </row>
    <row r="29">
      <c r="E29" t="inlineStr">
        <is>
          <t>C</t>
        </is>
      </c>
      <c r="F29" t="inlineStr">
        <is>
          <t>C-9-1X</t>
        </is>
      </c>
      <c r="G29" t="inlineStr">
        <is>
          <t>MDF</t>
        </is>
      </c>
      <c r="H29" t="n">
        <v>9</v>
      </c>
      <c r="I29" t="inlineStr">
        <is>
          <t>1X</t>
        </is>
      </c>
      <c r="J29" t="inlineStr">
        <is>
          <t>MDF 9 mm, veneer 1 face</t>
        </is>
      </c>
    </row>
    <row r="30">
      <c r="E30" t="inlineStr">
        <is>
          <t>C</t>
        </is>
      </c>
      <c r="F30" t="inlineStr">
        <is>
          <t>C-9-2X</t>
        </is>
      </c>
      <c r="G30" t="inlineStr">
        <is>
          <t>MDF</t>
        </is>
      </c>
      <c r="H30" t="n">
        <v>9</v>
      </c>
      <c r="I30" t="inlineStr">
        <is>
          <t>2X</t>
        </is>
      </c>
      <c r="J30" t="inlineStr">
        <is>
          <t>MDF 9 mm, veneer 2 faces</t>
        </is>
      </c>
    </row>
    <row r="31">
      <c r="E31" t="inlineStr">
        <is>
          <t>C</t>
        </is>
      </c>
      <c r="F31" t="inlineStr">
        <is>
          <t>C-12-0X</t>
        </is>
      </c>
      <c r="G31" t="inlineStr">
        <is>
          <t>MDF</t>
        </is>
      </c>
      <c r="H31" t="n">
        <v>12</v>
      </c>
      <c r="I31" t="inlineStr">
        <is>
          <t>0X</t>
        </is>
      </c>
      <c r="J31" t="inlineStr">
        <is>
          <t>MDF 12 mm, no veneer</t>
        </is>
      </c>
    </row>
    <row r="32">
      <c r="E32" t="inlineStr">
        <is>
          <t>C</t>
        </is>
      </c>
      <c r="F32" t="inlineStr">
        <is>
          <t>C-12-1X</t>
        </is>
      </c>
      <c r="G32" t="inlineStr">
        <is>
          <t>MDF</t>
        </is>
      </c>
      <c r="H32" t="n">
        <v>12</v>
      </c>
      <c r="I32" t="inlineStr">
        <is>
          <t>1X</t>
        </is>
      </c>
      <c r="J32" t="inlineStr">
        <is>
          <t>MDF 12 mm, veneer 1 face</t>
        </is>
      </c>
    </row>
    <row r="33">
      <c r="E33" t="inlineStr">
        <is>
          <t>C</t>
        </is>
      </c>
      <c r="F33" t="inlineStr">
        <is>
          <t>C-12-2X</t>
        </is>
      </c>
      <c r="G33" t="inlineStr">
        <is>
          <t>MDF</t>
        </is>
      </c>
      <c r="H33" t="n">
        <v>12</v>
      </c>
      <c r="I33" t="inlineStr">
        <is>
          <t>2X</t>
        </is>
      </c>
      <c r="J33" t="inlineStr">
        <is>
          <t>MDF 12 mm, veneer 2 faces</t>
        </is>
      </c>
    </row>
    <row r="34">
      <c r="E34" t="inlineStr">
        <is>
          <t>C</t>
        </is>
      </c>
      <c r="F34" t="inlineStr">
        <is>
          <t>C-15-0X</t>
        </is>
      </c>
      <c r="G34" t="inlineStr">
        <is>
          <t>MDF</t>
        </is>
      </c>
      <c r="H34" t="n">
        <v>15</v>
      </c>
      <c r="I34" t="inlineStr">
        <is>
          <t>0X</t>
        </is>
      </c>
      <c r="J34" t="inlineStr">
        <is>
          <t>MDF 15 mm, no veneer</t>
        </is>
      </c>
    </row>
    <row r="35">
      <c r="E35" t="inlineStr">
        <is>
          <t>C</t>
        </is>
      </c>
      <c r="F35" t="inlineStr">
        <is>
          <t>C-15-1X</t>
        </is>
      </c>
      <c r="G35" t="inlineStr">
        <is>
          <t>MDF</t>
        </is>
      </c>
      <c r="H35" t="n">
        <v>15</v>
      </c>
      <c r="I35" t="inlineStr">
        <is>
          <t>1X</t>
        </is>
      </c>
      <c r="J35" t="inlineStr">
        <is>
          <t>MDF 15 mm, veneer 1 face</t>
        </is>
      </c>
    </row>
    <row r="36">
      <c r="E36" t="inlineStr">
        <is>
          <t>C</t>
        </is>
      </c>
      <c r="F36" t="inlineStr">
        <is>
          <t>C-15-2X</t>
        </is>
      </c>
      <c r="G36" t="inlineStr">
        <is>
          <t>MDF</t>
        </is>
      </c>
      <c r="H36" t="n">
        <v>15</v>
      </c>
      <c r="I36" t="inlineStr">
        <is>
          <t>2X</t>
        </is>
      </c>
      <c r="J36" t="inlineStr">
        <is>
          <t>MDF 15 mm, veneer 2 faces</t>
        </is>
      </c>
    </row>
    <row r="37">
      <c r="E37" t="inlineStr">
        <is>
          <t>C</t>
        </is>
      </c>
      <c r="F37" t="inlineStr">
        <is>
          <t>C-18-0X</t>
        </is>
      </c>
      <c r="G37" t="inlineStr">
        <is>
          <t>MDF</t>
        </is>
      </c>
      <c r="H37" t="n">
        <v>18</v>
      </c>
      <c r="I37" t="inlineStr">
        <is>
          <t>0X</t>
        </is>
      </c>
      <c r="J37" t="inlineStr">
        <is>
          <t>MDF 18 mm, no veneer</t>
        </is>
      </c>
    </row>
    <row r="38">
      <c r="E38" t="inlineStr">
        <is>
          <t>C</t>
        </is>
      </c>
      <c r="F38" t="inlineStr">
        <is>
          <t>C-18-1X</t>
        </is>
      </c>
      <c r="G38" t="inlineStr">
        <is>
          <t>MDF</t>
        </is>
      </c>
      <c r="H38" t="n">
        <v>18</v>
      </c>
      <c r="I38" t="inlineStr">
        <is>
          <t>1X</t>
        </is>
      </c>
      <c r="J38" t="inlineStr">
        <is>
          <t>MDF 18 mm, veneer 1 face</t>
        </is>
      </c>
    </row>
    <row r="39">
      <c r="E39" t="inlineStr">
        <is>
          <t>C</t>
        </is>
      </c>
      <c r="F39" t="inlineStr">
        <is>
          <t>C-18-2X</t>
        </is>
      </c>
      <c r="G39" t="inlineStr">
        <is>
          <t>MDF</t>
        </is>
      </c>
      <c r="H39" t="n">
        <v>18</v>
      </c>
      <c r="I39" t="inlineStr">
        <is>
          <t>2X</t>
        </is>
      </c>
      <c r="J39" t="inlineStr">
        <is>
          <t>MDF 18 mm, veneer 2 faces</t>
        </is>
      </c>
    </row>
    <row r="40">
      <c r="E40" t="inlineStr">
        <is>
          <t>D</t>
        </is>
      </c>
      <c r="F40" t="inlineStr">
        <is>
          <t>D1</t>
        </is>
      </c>
      <c r="G40" t="inlineStr">
        <is>
          <t>Hardware</t>
        </is>
      </c>
      <c r="J40" t="inlineStr">
        <is>
          <t>Soft close hinge DTC</t>
        </is>
      </c>
    </row>
    <row r="41">
      <c r="E41" t="inlineStr">
        <is>
          <t>D</t>
        </is>
      </c>
      <c r="F41" t="inlineStr">
        <is>
          <t>D2</t>
        </is>
      </c>
      <c r="G41" t="inlineStr">
        <is>
          <t>Hardware</t>
        </is>
      </c>
      <c r="J41" t="inlineStr">
        <is>
          <t>Drawer rail DTC (size follows drawer box side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RIZKY</dc:creator>
  <dcterms:created xsi:type="dcterms:W3CDTF">2026-10-09T16:14:21Z</dcterms:created>
  <dcterms:modified xsi:type="dcterms:W3CDTF">2026-10-23T06:33:46Z</dcterms:modified>
  <cp:lastModifiedBy>Rizky</cp:lastModifiedBy>
</cp:coreProperties>
</file>
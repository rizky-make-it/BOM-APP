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21">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
      <b val="1"/>
      <color rgb="001F3A5F"/>
    </font>
    <font>
      <b val="1"/>
      <color rgb="00FFFFFF"/>
    </font>
  </fonts>
  <fills count="11">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
      <patternFill patternType="solid">
        <fgColor rgb="00DDE5EE"/>
      </patternFill>
    </fill>
    <fill>
      <patternFill patternType="solid">
        <fgColor rgb="001F3A5F"/>
      </patternFill>
    </fill>
  </fills>
  <borders count="2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
      <bottom style="thin">
        <color rgb="00D0D0D0"/>
      </bottom>
    </border>
  </borders>
  <cellStyleXfs count="1">
    <xf numFmtId="0" fontId="0" fillId="0" borderId="16"/>
  </cellStyleXfs>
  <cellXfs count="130">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xf numFmtId="0" fontId="12" fillId="0" borderId="19" applyAlignment="1" pivotButton="0" quotePrefix="0" xfId="0">
      <alignment vertical="bottom"/>
    </xf>
    <xf numFmtId="0" fontId="0" fillId="0" borderId="19" applyAlignment="1" pivotButton="0" quotePrefix="0" xfId="0">
      <alignment vertical="center"/>
    </xf>
    <xf numFmtId="0" fontId="0" fillId="0" borderId="19" applyAlignment="1" pivotButton="0" quotePrefix="0" xfId="0">
      <alignment horizontal="right"/>
    </xf>
    <xf numFmtId="0" fontId="0" fillId="0" borderId="19" pivotButton="0" quotePrefix="0" xfId="0"/>
    <xf numFmtId="0" fontId="13" fillId="0" borderId="19" applyAlignment="1" pivotButton="0" quotePrefix="0" xfId="0">
      <alignment vertical="bottom"/>
    </xf>
    <xf numFmtId="0" fontId="19" fillId="9" borderId="0" applyAlignment="1" pivotButton="0" quotePrefix="0" xfId="0">
      <alignment vertical="bottom"/>
    </xf>
    <xf numFmtId="0" fontId="0" fillId="9" borderId="0" pivotButton="0" quotePrefix="0" xfId="0"/>
    <xf numFmtId="0" fontId="20" fillId="10" borderId="0" applyAlignment="1" pivotButton="0" quotePrefix="0" xfId="0">
      <alignment horizontal="left" vertical="center" wrapText="1"/>
    </xf>
    <xf numFmtId="170" fontId="20" fillId="10" borderId="0" applyAlignment="1" pivotButton="0" quotePrefix="0" xfId="0">
      <alignment horizontal="center" vertical="center" wrapText="1"/>
    </xf>
    <xf numFmtId="0" fontId="20" fillId="10" borderId="0" applyAlignment="1" pivotButton="0" quotePrefix="0" xfId="0">
      <alignment horizontal="center" vertical="center" wrapText="1"/>
    </xf>
    <xf numFmtId="0" fontId="14" fillId="0" borderId="19" applyAlignment="1" pivotButton="0" quotePrefix="0" xfId="0">
      <alignment vertical="bottom"/>
    </xf>
    <xf numFmtId="0" fontId="13" fillId="0" borderId="19" applyAlignment="1" pivotButton="0" quotePrefix="0" xfId="0">
      <alignment vertical="center"/>
    </xf>
    <xf numFmtId="4" fontId="17" fillId="0" borderId="19" applyAlignment="1" pivotButton="0" quotePrefix="0" xfId="0">
      <alignment horizontal="right"/>
    </xf>
    <xf numFmtId="3" fontId="17" fillId="0" borderId="19" applyAlignment="1" pivotButton="0" quotePrefix="0" xfId="0">
      <alignment horizontal="right"/>
    </xf>
    <xf numFmtId="10" fontId="17" fillId="0" borderId="19" applyAlignment="1" pivotButton="0" quotePrefix="0" xfId="0">
      <alignment horizontal="right"/>
    </xf>
    <xf numFmtId="170" fontId="17" fillId="0" borderId="19" applyAlignment="1" pivotButton="0" quotePrefix="0" xfId="0">
      <alignment horizontal="right"/>
    </xf>
    <xf numFmtId="4" fontId="13" fillId="0" borderId="19" applyAlignment="1" pivotButton="0" quotePrefix="0" xfId="0">
      <alignment horizontal="right"/>
    </xf>
    <xf numFmtId="3" fontId="13" fillId="0" borderId="19" applyAlignment="1" pivotButton="0" quotePrefix="0" xfId="0">
      <alignment horizontal="right"/>
    </xf>
    <xf numFmtId="10" fontId="13" fillId="0" borderId="19" applyAlignment="1" pivotButton="0" quotePrefix="0" xfId="0">
      <alignment horizontal="right"/>
    </xf>
    <xf numFmtId="170" fontId="13" fillId="0" borderId="19" applyAlignment="1" pivotButton="0" quotePrefix="0" xfId="0">
      <alignment horizontal="right"/>
    </xf>
    <xf numFmtId="4" fontId="18" fillId="0" borderId="19" applyAlignment="1" pivotButton="0" quotePrefix="0" xfId="0">
      <alignment vertical="bottom"/>
    </xf>
    <xf numFmtId="0" fontId="18" fillId="0" borderId="19" applyAlignment="1" pivotButton="0" quotePrefix="0" xfId="0">
      <alignment vertical="bottom"/>
    </xf>
    <xf numFmtId="3" fontId="18" fillId="0" borderId="19" applyAlignment="1" pivotButton="0" quotePrefix="0" xfId="0">
      <alignment horizontal="right"/>
    </xf>
    <xf numFmtId="4" fontId="20" fillId="10" borderId="0" applyAlignment="1" pivotButton="0" quotePrefix="0" xfId="0">
      <alignment horizontal="left" vertical="center" wrapText="1"/>
    </xf>
    <xf numFmtId="3" fontId="20" fillId="10" borderId="0" applyAlignment="1" pivotButton="0" quotePrefix="0" xfId="0">
      <alignment horizontal="left" vertical="center" wrapText="1"/>
    </xf>
    <xf numFmtId="0" fontId="18" fillId="0" borderId="19" applyAlignment="1" pivotButton="0" quotePrefix="0" xfId="0">
      <alignment vertical="center"/>
    </xf>
    <xf numFmtId="170" fontId="18" fillId="0" borderId="19" applyAlignment="1" pivotButton="0" quotePrefix="0" xfId="0">
      <alignment horizontal="right"/>
    </xf>
    <xf numFmtId="0" fontId="16" fillId="0" borderId="19" applyAlignment="1" pivotButton="0" quotePrefix="0" xfId="0">
      <alignment vertical="bottom"/>
    </xf>
    <xf numFmtId="0" fontId="16" fillId="0" borderId="19" applyAlignment="1" pivotButton="0" quotePrefix="0" xfId="0">
      <alignment vertical="center"/>
    </xf>
    <xf numFmtId="3" fontId="16" fillId="0" borderId="19" applyAlignment="1" pivotButton="0" quotePrefix="0" xfId="0">
      <alignment horizontal="right"/>
    </xf>
    <xf numFmtId="4" fontId="16" fillId="0" borderId="19" applyAlignment="1" pivotButton="0" quotePrefix="0" xfId="0">
      <alignment vertical="bottom"/>
    </xf>
    <xf numFmtId="3" fontId="16" fillId="0" borderId="19" applyAlignment="1" pivotButton="0" quotePrefix="0" xfId="0">
      <alignment vertical="bottom"/>
    </xf>
    <xf numFmtId="3" fontId="18" fillId="0" borderId="19" applyAlignment="1" pivotButton="0" quotePrefix="0" xfId="0">
      <alignment vertical="bottom"/>
    </xf>
    <xf numFmtId="4" fontId="16" fillId="9" borderId="0" applyAlignment="1" pivotButton="0" quotePrefix="0" xfId="0">
      <alignment vertical="bottom"/>
    </xf>
    <xf numFmtId="3" fontId="16" fillId="9" borderId="0" applyAlignment="1" pivotButton="0" quotePrefix="0" xfId="0">
      <alignment vertical="bottom"/>
    </xf>
    <xf numFmtId="0" fontId="19" fillId="9" borderId="0" pivotButton="0" quotePrefix="0" xfId="0"/>
    <xf numFmtId="3" fontId="0" fillId="0" borderId="19" applyAlignment="1" pivotButton="0" quotePrefix="0" xfId="0">
      <alignment horizontal="right"/>
    </xf>
    <xf numFmtId="4" fontId="18" fillId="0" borderId="19" applyAlignment="1" pivotButton="0" quotePrefix="0" xfId="0">
      <alignment horizontal="right"/>
    </xf>
  </cellXfs>
  <cellStyles count="1">
    <cellStyle name="Normal" xfId="0" builtinId="0"/>
  </cellStyles>
  <dxfs count="1">
    <dxf>
      <font>
        <b val="1"/>
        <color rgb="009C2B00"/>
      </font>
      <fill>
        <patternFill patternType="solid">
          <fgColor rgb="00FFC7A0"/>
          <bgColor rgb="00FFC7A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conditionalFormatting sqref="S18:T42">
    <cfRule type="expression" priority="1" dxfId="0" stopIfTrue="0">
      <formula>AND($E18&lt;&gt;"",OR(S18="",S18=0,S18="rate?"))</formula>
    </cfRule>
  </conditionalFormatting>
  <conditionalFormatting sqref="S46:T60">
    <cfRule type="expression" priority="2" dxfId="0" stopIfTrue="0">
      <formula>AND($E46&lt;&gt;"",OR(S46="",S46=0,S46="rate?"))</formula>
    </cfRule>
  </conditionalFormatting>
  <conditionalFormatting sqref="S64:T78">
    <cfRule type="expression" priority="3" dxfId="0" stopIfTrue="0">
      <formula>AND($D64&lt;&gt;"",OR(S64="",S64=0))</formula>
    </cfRule>
  </conditionalFormatting>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25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style="59" min="1" max="1"/>
    <col width="52" customWidth="1" style="59" min="2" max="2"/>
    <col width="17" customWidth="1" style="59" min="3" max="3"/>
    <col width="11" customWidth="1" style="59" min="4" max="4"/>
    <col width="48" customWidth="1" style="59" min="5" max="5"/>
    <col width="22" customWidth="1" style="59" min="6" max="6"/>
    <col width="24" customWidth="1" style="59" min="7" max="7"/>
    <col width="16" customWidth="1" style="59" min="8" max="8"/>
    <col width="16" customWidth="1" style="59" min="9" max="9"/>
  </cols>
  <sheetData>
    <row r="1">
      <c r="A1" s="92" t="inlineStr">
        <is>
          <t>RATES: PLV BOM Rate Card 29 Sep 26 (rates_version 2026-09-29), with the 30 Sep changes: finishing split into four rates, 40 × 40 section rule</t>
        </is>
      </c>
      <c r="B1" s="93" t="n"/>
      <c r="C1" s="94" t="n"/>
      <c r="D1" s="95" t="n"/>
      <c r="E1" s="95" t="n"/>
      <c r="F1" s="95" t="n"/>
      <c r="G1" s="95" t="n"/>
      <c r="H1" s="95" t="n"/>
      <c r="I1" s="95" t="n"/>
    </row>
    <row r="2">
      <c r="A2" s="96" t="inlineStr">
        <is>
          <t>Blue = base figure (change it and every cost in this workbook follows). Black = formula. Item tabs look rates up by the code in column A. Only the rate owner edits this tab.</t>
        </is>
      </c>
      <c r="B2" s="93" t="n"/>
      <c r="C2" s="94" t="n"/>
      <c r="D2" s="95" t="n"/>
      <c r="E2" s="95" t="n"/>
      <c r="F2" s="95" t="n"/>
      <c r="G2" s="95" t="n"/>
      <c r="H2" s="95" t="n"/>
      <c r="I2" s="95" t="n"/>
    </row>
    <row r="3">
      <c r="A3" s="97"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c r="B3" s="98" t="n"/>
      <c r="C3" s="98" t="n"/>
      <c r="D3" s="98" t="n"/>
      <c r="E3" s="98" t="n"/>
      <c r="F3" s="98" t="n"/>
      <c r="G3" s="98" t="n"/>
      <c r="H3" s="98" t="n"/>
      <c r="I3" s="98" t="n"/>
    </row>
    <row r="4" ht="32" customHeight="1" s="59">
      <c r="A4" s="99" t="inlineStr">
        <is>
          <t>code</t>
        </is>
      </c>
      <c r="B4" s="99" t="inlineStr">
        <is>
          <t>Description</t>
        </is>
      </c>
      <c r="C4" s="100" t="inlineStr">
        <is>
          <t>Value</t>
        </is>
      </c>
      <c r="D4" s="101" t="inlineStr">
        <is>
          <t>Unit</t>
        </is>
      </c>
      <c r="E4" s="99" t="inlineStr">
        <is>
          <t>Source</t>
        </is>
      </c>
      <c r="F4" s="99" t="inlineStr">
        <is>
          <t>Quote USD (Linyi Ocean landed, 16 Oct 2026)</t>
        </is>
      </c>
      <c r="G4" s="99" t="inlineStr">
        <is>
          <t>Quote IDR (USD × FX_USD)</t>
        </is>
      </c>
    </row>
    <row r="5">
      <c r="A5" s="97" t="inlineStr">
        <is>
          <t>BASE FIGURES: STMV (Standard Maldives) ledger, payroll and vendor lists</t>
        </is>
      </c>
      <c r="B5" s="98" t="n"/>
      <c r="C5" s="98" t="n"/>
      <c r="D5" s="98" t="n"/>
      <c r="E5" s="98" t="n"/>
      <c r="F5" s="98" t="n"/>
      <c r="G5" s="98" t="n"/>
      <c r="H5" s="98" t="n"/>
      <c r="I5" s="98" t="n"/>
    </row>
    <row r="6">
      <c r="A6" s="102" t="inlineStr">
        <is>
          <t>log_teak</t>
        </is>
      </c>
      <c r="B6" s="103" t="inlineStr">
        <is>
          <t>Teak log price, implied</t>
        </is>
      </c>
      <c r="C6" s="104" t="n">
        <v>6000000</v>
      </c>
      <c r="D6" s="96" t="inlineStr">
        <is>
          <t>IDR/m³</t>
        </is>
      </c>
      <c r="E6" s="96" t="inlineStr">
        <is>
          <t>Ledger 152.3m ÷ 14 m³. Status CONFIRM: replace with nota price</t>
        </is>
      </c>
      <c r="F6" s="95" t="n"/>
      <c r="G6" s="95" t="n"/>
      <c r="H6" s="95" t="n"/>
      <c r="I6" s="95" t="n"/>
    </row>
    <row r="7">
      <c r="A7" s="102" t="inlineStr">
        <is>
          <t>log_mindi</t>
        </is>
      </c>
      <c r="B7" s="103" t="inlineStr">
        <is>
          <t>Mindi log price, implied</t>
        </is>
      </c>
      <c r="C7" s="104" t="n">
        <v>3000000</v>
      </c>
      <c r="D7" s="96" t="inlineStr">
        <is>
          <t>IDR/m³</t>
        </is>
      </c>
      <c r="E7" s="96" t="inlineStr">
        <is>
          <t>Ledger 126.1m ÷ 41 m³. Status CONFIRM</t>
        </is>
      </c>
      <c r="F7" s="95" t="n"/>
      <c r="G7" s="95" t="n"/>
      <c r="H7" s="95" t="n"/>
      <c r="I7" s="95" t="n"/>
    </row>
    <row r="8">
      <c r="A8" s="102" t="inlineStr">
        <is>
          <t>meranti_sawn</t>
        </is>
      </c>
      <c r="B8" s="103" t="inlineStr">
        <is>
          <t>Meranti dry sawn timber</t>
        </is>
      </c>
      <c r="C8" s="104" t="n">
        <v>8500000</v>
      </c>
      <c r="D8" s="96" t="inlineStr">
        <is>
          <t>IDR/m³</t>
        </is>
      </c>
      <c r="E8" s="96" t="inlineStr">
        <is>
          <t>STMV BOM price. Status CONFIRM</t>
        </is>
      </c>
      <c r="F8" s="95" t="n"/>
      <c r="G8" s="95" t="n"/>
      <c r="H8" s="95" t="n"/>
      <c r="I8" s="95" t="n"/>
    </row>
    <row r="9">
      <c r="A9" s="102" t="inlineStr">
        <is>
          <t>processing</t>
        </is>
      </c>
      <c r="B9" s="103" t="inlineStr">
        <is>
          <t>Wood processing (kiln + sawmill + hauling + sawmill staff), per m³ of log</t>
        </is>
      </c>
      <c r="C9" s="104" t="n">
        <v>598978</v>
      </c>
      <c r="D9" s="96" t="inlineStr">
        <is>
          <t>IDR/m³</t>
        </is>
      </c>
      <c r="E9" s="96" t="inlineStr">
        <is>
          <t>Ledger ÷ 75.82 m³ teak + mindi</t>
        </is>
      </c>
      <c r="F9" s="95" t="n"/>
      <c r="G9" s="95" t="n"/>
      <c r="H9" s="95" t="n"/>
      <c r="I9" s="95" t="n"/>
    </row>
    <row r="10">
      <c r="A10" s="102" t="inlineStr">
        <is>
          <t>carp_pool</t>
        </is>
      </c>
      <c r="B10" s="103" t="inlineStr">
        <is>
          <t>Carpentry payroll pool Mar–Sep 2026</t>
        </is>
      </c>
      <c r="C10" s="105" t="n">
        <v>270175017</v>
      </c>
      <c r="D10" s="96" t="inlineStr">
        <is>
          <t>IDR</t>
        </is>
      </c>
      <c r="E10" s="96" t="inlineStr">
        <is>
          <t>Payroll categorised by name, 29 Sep</t>
        </is>
      </c>
      <c r="F10" s="95" t="n"/>
      <c r="G10" s="95" t="n"/>
      <c r="H10" s="95" t="n"/>
      <c r="I10" s="95" t="n"/>
    </row>
    <row r="11">
      <c r="A11" s="102" t="inlineStr">
        <is>
          <t>carp_deduct</t>
        </is>
      </c>
      <c r="B11" s="103" t="inlineStr">
        <is>
          <t>Less panel cutting / pressing (already in panel rate)</t>
        </is>
      </c>
      <c r="C11" s="106" t="n">
        <v>0.1</v>
      </c>
      <c r="D11" s="96" t="inlineStr">
        <is>
          <t>%</t>
        </is>
      </c>
      <c r="E11" s="96" t="inlineStr">
        <is>
          <t>Decision 29 Sep</t>
        </is>
      </c>
      <c r="F11" s="95" t="n"/>
      <c r="G11" s="95" t="n"/>
      <c r="H11" s="95" t="n"/>
      <c r="I11" s="95" t="n"/>
    </row>
    <row r="12">
      <c r="A12" s="102" t="inlineStr">
        <is>
          <t>comp_m3</t>
        </is>
      </c>
      <c r="B12" s="103" t="inlineStr">
        <is>
          <t>STMV solid wood in components (teak 12.21 + mindi 13.15 + meranti 7.20)</t>
        </is>
      </c>
      <c r="C12" s="107" t="n">
        <v>32.56</v>
      </c>
      <c r="D12" s="96" t="inlineStr">
        <is>
          <t>m³</t>
        </is>
      </c>
      <c r="E12" s="96" t="inlineStr">
        <is>
          <t>REVISI BOM 21 MEI 26</t>
        </is>
      </c>
      <c r="F12" s="95" t="n"/>
      <c r="G12" s="95" t="n"/>
      <c r="H12" s="95" t="n"/>
      <c r="I12" s="95" t="n"/>
    </row>
    <row r="13">
      <c r="A13" s="102" t="inlineStr">
        <is>
          <t>yield_A</t>
        </is>
      </c>
      <c r="B13" s="103" t="inlineStr">
        <is>
          <t>Yield factor tier A (exposed, straight, ≥ 1000 mm)</t>
        </is>
      </c>
      <c r="C13" s="107" t="n">
        <v>3.5</v>
      </c>
      <c r="D13" s="96" t="inlineStr">
        <is>
          <t>x</t>
        </is>
      </c>
      <c r="E13" s="96" t="inlineStr">
        <is>
          <t>Judgement, open item</t>
        </is>
      </c>
      <c r="F13" s="95" t="n"/>
      <c r="G13" s="95" t="n"/>
      <c r="H13" s="95" t="n"/>
      <c r="I13" s="95" t="n"/>
    </row>
    <row r="14">
      <c r="A14" s="102" t="inlineStr">
        <is>
          <t>yield_AC</t>
        </is>
      </c>
      <c r="B14" s="103" t="inlineStr">
        <is>
          <t>Yield factor tier A-CURVED / wide board</t>
        </is>
      </c>
      <c r="C14" s="107" t="n">
        <v>4.6</v>
      </c>
      <c r="D14" s="96" t="inlineStr">
        <is>
          <t>x</t>
        </is>
      </c>
      <c r="E14" s="96" t="inlineStr">
        <is>
          <t>STMV mindi</t>
        </is>
      </c>
      <c r="F14" s="95" t="n"/>
      <c r="G14" s="95" t="n"/>
      <c r="H14" s="95" t="n"/>
      <c r="I14" s="95" t="n"/>
    </row>
    <row r="15">
      <c r="A15" s="102" t="inlineStr">
        <is>
          <t>yield_B</t>
        </is>
      </c>
      <c r="B15" s="103" t="inlineStr">
        <is>
          <t>Yield factor tier B (exposed &lt; 1000 mm, or section ≤ 40 × 40 up to 1500 mm)</t>
        </is>
      </c>
      <c r="C15" s="107" t="n">
        <v>2.5</v>
      </c>
      <c r="D15" s="96" t="inlineStr">
        <is>
          <t>x</t>
        </is>
      </c>
      <c r="E15" s="96" t="inlineStr">
        <is>
          <t>Judgement, open item</t>
        </is>
      </c>
      <c r="F15" s="95" t="n"/>
      <c r="G15" s="95" t="n"/>
      <c r="H15" s="95" t="n"/>
      <c r="I15" s="95" t="n"/>
    </row>
    <row r="16">
      <c r="A16" s="102" t="inlineStr">
        <is>
          <t>yield_C</t>
        </is>
      </c>
      <c r="B16" s="103" t="inlineStr">
        <is>
          <t>Yield factor tier C (not exposed)</t>
        </is>
      </c>
      <c r="C16" s="107" t="n">
        <v>2</v>
      </c>
      <c r="D16" s="96" t="inlineStr">
        <is>
          <t>x</t>
        </is>
      </c>
      <c r="E16" s="96" t="inlineStr">
        <is>
          <t>STMV teak</t>
        </is>
      </c>
      <c r="F16" s="95" t="n"/>
      <c r="G16" s="95" t="n"/>
      <c r="H16" s="95" t="n"/>
      <c r="I16" s="95" t="n"/>
    </row>
    <row r="17">
      <c r="A17" s="102" t="inlineStr">
        <is>
          <t>yield_D</t>
        </is>
      </c>
      <c r="B17" s="103" t="inlineStr">
        <is>
          <t>Yield factor tier D (very small parts)</t>
        </is>
      </c>
      <c r="C17" s="107" t="n">
        <v>1.5</v>
      </c>
      <c r="D17" s="96" t="inlineStr">
        <is>
          <t>x</t>
        </is>
      </c>
      <c r="E17" s="96" t="inlineStr">
        <is>
          <t>Judgement, open item</t>
        </is>
      </c>
      <c r="F17" s="95" t="n"/>
      <c r="G17" s="95" t="n"/>
      <c r="H17" s="95" t="n"/>
      <c r="I17" s="95" t="n"/>
    </row>
    <row r="18">
      <c r="A18" s="102" t="inlineStr">
        <is>
          <t>yield_MER</t>
        </is>
      </c>
      <c r="B18" s="103" t="inlineStr">
        <is>
          <t>Meranti sawn-to-component yield</t>
        </is>
      </c>
      <c r="C18" s="107" t="n">
        <v>1.5</v>
      </c>
      <c r="D18" s="96" t="inlineStr">
        <is>
          <t>x</t>
        </is>
      </c>
      <c r="E18" s="96" t="inlineStr">
        <is>
          <t>Assumption</t>
        </is>
      </c>
      <c r="F18" s="95" t="n"/>
      <c r="G18" s="95" t="n"/>
      <c r="H18" s="95" t="n"/>
      <c r="I18" s="95" t="n"/>
    </row>
    <row r="19">
      <c r="A19" s="102" t="inlineStr">
        <is>
          <t>fast_total</t>
        </is>
      </c>
      <c r="B19" s="103" t="inlineStr">
        <is>
          <t>Screws, nails, dowels, wood glue: STMV ledger estimate</t>
        </is>
      </c>
      <c r="C19" s="105" t="n">
        <v>57000000</v>
      </c>
      <c r="D19" s="96" t="inlineStr">
        <is>
          <t>IDR</t>
        </is>
      </c>
      <c r="E19" s="96" t="inlineStr">
        <is>
          <t>Status CONFIRM</t>
        </is>
      </c>
      <c r="F19" s="95" t="n"/>
      <c r="G19" s="95" t="n"/>
      <c r="H19" s="95" t="n"/>
      <c r="I19" s="95" t="n"/>
    </row>
    <row r="20">
      <c r="A20" s="102" t="inlineStr">
        <is>
          <t>paint_total</t>
        </is>
      </c>
      <c r="B20" s="103" t="inlineStr">
        <is>
          <t>Finishing materials: Zhanchen all-in 52,888,326 + thinner 31,249,000</t>
        </is>
      </c>
      <c r="C20" s="105" t="n">
        <v>84137326</v>
      </c>
      <c r="D20" s="96" t="inlineStr">
        <is>
          <t>IDR</t>
        </is>
      </c>
      <c r="E20" s="96" t="inlineStr">
        <is>
          <t>Ledger, agreed 28 Sep</t>
        </is>
      </c>
      <c r="F20" s="95" t="n"/>
      <c r="G20" s="95" t="n"/>
      <c r="H20" s="95" t="n"/>
      <c r="I20" s="95" t="n"/>
    </row>
    <row r="21">
      <c r="A21" s="102" t="inlineStr">
        <is>
          <t>abrasive_total</t>
        </is>
      </c>
      <c r="B21" s="103" t="inlineStr">
        <is>
          <t>Sanding materials: abrasives / sandpaper</t>
        </is>
      </c>
      <c r="C21" s="105" t="n">
        <v>27713000</v>
      </c>
      <c r="D21" s="96" t="inlineStr">
        <is>
          <t>IDR</t>
        </is>
      </c>
      <c r="E21" s="96" t="inlineStr">
        <is>
          <t>Ledger, agreed 28 Sep</t>
        </is>
      </c>
      <c r="F21" s="95" t="n"/>
      <c r="G21" s="95" t="n"/>
      <c r="H21" s="95" t="n"/>
      <c r="I21" s="95" t="n"/>
    </row>
    <row r="22">
      <c r="A22" s="102" t="inlineStr">
        <is>
          <t>fin_pool</t>
        </is>
      </c>
      <c r="B22" s="103" t="inlineStr">
        <is>
          <t>Finishing payroll pool excl. sanding (finishing, PU, gerinda, helper)</t>
        </is>
      </c>
      <c r="C22" s="105" t="n">
        <v>192243271</v>
      </c>
      <c r="D22" s="96" t="inlineStr">
        <is>
          <t>IDR</t>
        </is>
      </c>
      <c r="E22" s="96" t="inlineStr">
        <is>
          <t>Payroll, 29 Sep</t>
        </is>
      </c>
      <c r="F22" s="95" t="n"/>
      <c r="G22" s="95" t="n"/>
      <c r="H22" s="95" t="n"/>
      <c r="I22" s="95" t="n"/>
    </row>
    <row r="23">
      <c r="A23" s="102" t="inlineStr">
        <is>
          <t>sand_pool</t>
        </is>
      </c>
      <c r="B23" s="103" t="inlineStr">
        <is>
          <t>Sanding payroll pool, as paid</t>
        </is>
      </c>
      <c r="C23" s="105" t="n">
        <v>131550191</v>
      </c>
      <c r="D23" s="96" t="inlineStr">
        <is>
          <t>IDR</t>
        </is>
      </c>
      <c r="E23" s="96" t="inlineStr">
        <is>
          <t>Payroll, 29 Sep</t>
        </is>
      </c>
      <c r="F23" s="95" t="n"/>
      <c r="G23" s="95" t="n"/>
      <c r="H23" s="95" t="n"/>
      <c r="I23" s="95" t="n"/>
    </row>
    <row r="24">
      <c r="A24" s="102" t="inlineStr">
        <is>
          <t>sand_keep</t>
        </is>
      </c>
      <c r="B24" s="103" t="inlineStr">
        <is>
          <t>Sanding share kept (35% removed: bleach re-sanding, packing work)</t>
        </is>
      </c>
      <c r="C24" s="106" t="n">
        <v>0.65</v>
      </c>
      <c r="D24" s="96" t="inlineStr">
        <is>
          <t>%</t>
        </is>
      </c>
      <c r="E24" s="96" t="inlineStr">
        <is>
          <t>Decision 29 Sep</t>
        </is>
      </c>
      <c r="F24" s="95" t="n"/>
      <c r="G24" s="95" t="n"/>
      <c r="H24" s="95" t="n"/>
      <c r="I24" s="95" t="n"/>
    </row>
    <row r="25">
      <c r="A25" s="102" t="inlineStr">
        <is>
          <t>fin_m2</t>
        </is>
      </c>
      <c r="B25" s="103" t="inlineStr">
        <is>
          <t>STMV finishing surface</t>
        </is>
      </c>
      <c r="C25" s="107" t="n">
        <v>2166</v>
      </c>
      <c r="D25" s="96" t="inlineStr">
        <is>
          <t>m²</t>
        </is>
      </c>
      <c r="E25" s="96" t="inlineStr">
        <is>
          <t>Items tab estimate</t>
        </is>
      </c>
      <c r="F25" s="95" t="n"/>
      <c r="G25" s="95" t="n"/>
      <c r="H25" s="95" t="n"/>
      <c r="I25" s="95" t="n"/>
    </row>
    <row r="26">
      <c r="A26" s="102" t="inlineStr">
        <is>
          <t>oh_pool</t>
        </is>
      </c>
      <c r="B26" s="103" t="inlineStr">
        <is>
          <t>Overhead payroll 213,627,079 + utilities 144,633,030 − PLN upgrade 49,700,000</t>
        </is>
      </c>
      <c r="C26" s="105" t="n">
        <v>308560109</v>
      </c>
      <c r="D26" s="96" t="inlineStr">
        <is>
          <t>IDR</t>
        </is>
      </c>
      <c r="E26" s="96" t="inlineStr">
        <is>
          <t>Payroll + reconciliation 23 Sep</t>
        </is>
      </c>
      <c r="F26" s="95" t="n"/>
      <c r="G26" s="95" t="n"/>
      <c r="H26" s="95" t="n"/>
      <c r="I26" s="95" t="n"/>
    </row>
    <row r="27">
      <c r="A27" s="102" t="inlineStr">
        <is>
          <t>stmv_direct</t>
        </is>
      </c>
      <c r="B27" s="103" t="inlineStr">
        <is>
          <t>STMV direct cost</t>
        </is>
      </c>
      <c r="C27" s="105" t="n">
        <v>2374841837</v>
      </c>
      <c r="D27" s="96" t="inlineStr">
        <is>
          <t>IDR</t>
        </is>
      </c>
      <c r="E27" s="96" t="inlineStr">
        <is>
          <t>Reconciliation 23 Sep, section A</t>
        </is>
      </c>
      <c r="F27" s="95" t="n"/>
      <c r="G27" s="95" t="n"/>
      <c r="H27" s="95" t="n"/>
      <c r="I27" s="95" t="n"/>
    </row>
    <row r="28">
      <c r="A28" s="102" t="inlineStr">
        <is>
          <t>glue_tape</t>
        </is>
      </c>
      <c r="B28" s="103" t="inlineStr">
        <is>
          <t>Adino glue + gum tape per m² veneered</t>
        </is>
      </c>
      <c r="C28" s="105" t="n">
        <v>10424</v>
      </c>
      <c r="D28" s="96" t="inlineStr">
        <is>
          <t>IDR/m²</t>
        </is>
      </c>
      <c r="E28" s="96" t="inlineStr">
        <is>
          <t>3,912,750 + 600,000 ÷ 432.9 m² (122 doors × 2 faces)</t>
        </is>
      </c>
      <c r="F28" s="95" t="n"/>
      <c r="G28" s="95" t="n"/>
      <c r="H28" s="95" t="n"/>
      <c r="I28" s="95" t="n"/>
    </row>
    <row r="29">
      <c r="A29" s="102" t="inlineStr">
        <is>
          <t>ven_teak</t>
        </is>
      </c>
      <c r="B29" s="103" t="inlineStr">
        <is>
          <t>Teak veneer per running metre (1.35 m wide)</t>
        </is>
      </c>
      <c r="C29" s="105" t="n">
        <v>110000</v>
      </c>
      <c r="D29" s="96" t="inlineStr">
        <is>
          <t>IDR/m</t>
        </is>
      </c>
      <c r="E29" s="96" t="inlineStr">
        <is>
          <t>User figure 28 Sep. Status CONFIRM</t>
        </is>
      </c>
      <c r="F29" s="95" t="n"/>
      <c r="G29" s="95" t="n"/>
      <c r="H29" s="95" t="n"/>
      <c r="I29" s="95" t="n"/>
    </row>
    <row r="30">
      <c r="A30" s="102" t="inlineStr">
        <is>
          <t>ven_mindi</t>
        </is>
      </c>
      <c r="B30" s="103" t="inlineStr">
        <is>
          <t>Mindi veneer per running metre</t>
        </is>
      </c>
      <c r="C30" s="105" t="n">
        <v>20000</v>
      </c>
      <c r="D30" s="96" t="inlineStr">
        <is>
          <t>IDR/m</t>
        </is>
      </c>
      <c r="E30" s="96" t="inlineStr">
        <is>
          <t>User figure 28 Sep. Status CONFIRM (width ≥ 1.22 m)</t>
        </is>
      </c>
      <c r="F30" s="95" t="n"/>
      <c r="G30" s="95" t="n"/>
      <c r="H30" s="95" t="n"/>
      <c r="I30" s="95" t="n"/>
    </row>
    <row r="31">
      <c r="A31" s="102" t="inlineStr">
        <is>
          <t>ven_len</t>
        </is>
      </c>
      <c r="B31" s="103" t="inlineStr">
        <is>
          <t>Veneer length used per face</t>
        </is>
      </c>
      <c r="C31" s="107" t="n">
        <v>2.5</v>
      </c>
      <c r="D31" s="96" t="inlineStr">
        <is>
          <t>m</t>
        </is>
      </c>
      <c r="E31" s="96" t="inlineStr">
        <is>
          <t>One 2.5 m length per face, offcuts not reused</t>
        </is>
      </c>
      <c r="F31" s="95" t="n"/>
      <c r="G31" s="95" t="n"/>
      <c r="H31" s="95" t="n"/>
      <c r="I31" s="95" t="n"/>
    </row>
    <row r="32">
      <c r="A32" s="102" t="inlineStr">
        <is>
          <t>ven_labour</t>
        </is>
      </c>
      <c r="B32" s="103" t="inlineStr">
        <is>
          <t>Pressing labour per face (tape, press, sand, cut)</t>
        </is>
      </c>
      <c r="C32" s="105" t="n">
        <v>57142.86</v>
      </c>
      <c r="D32" s="96" t="inlineStr">
        <is>
          <t>IDR/face</t>
        </is>
      </c>
      <c r="E32" s="96" t="inlineStr">
        <is>
          <t>800,000 ÷ 14 sheets. Status CONFIRM</t>
        </is>
      </c>
      <c r="F32" s="95" t="n"/>
      <c r="G32" s="95" t="n"/>
      <c r="H32" s="95" t="n"/>
      <c r="I32" s="95" t="n"/>
    </row>
    <row r="33">
      <c r="A33" s="97" t="inlineStr">
        <is>
          <t>RATE CARD: applied by the item tabs</t>
        </is>
      </c>
      <c r="B33" s="98" t="n"/>
      <c r="C33" s="98" t="n"/>
      <c r="D33" s="98" t="n"/>
      <c r="E33" s="98" t="n"/>
      <c r="F33" s="98" t="n"/>
      <c r="G33" s="98" t="n"/>
      <c r="H33" s="98" t="n"/>
      <c r="I33" s="98" t="n"/>
    </row>
    <row r="34">
      <c r="A34" s="102" t="inlineStr">
        <is>
          <t>LAB_CARP</t>
        </is>
      </c>
      <c r="B34" s="103" t="inlineStr">
        <is>
          <t>Carpentry labour per m³ of component (inside every tier rate)</t>
        </is>
      </c>
      <c r="C34" s="108" t="n">
        <v>4000000</v>
      </c>
      <c r="D34" s="96" t="inlineStr">
        <is>
          <t>IDR/m³</t>
        </is>
      </c>
      <c r="E34" s="96" t="inlineStr">
        <is>
          <t>Pool less 10% ÷ component m³</t>
        </is>
      </c>
      <c r="F34" s="95" t="n"/>
      <c r="G34" s="95" t="n"/>
      <c r="H34" s="95" t="n"/>
      <c r="I34" s="95" t="n"/>
    </row>
    <row r="35">
      <c r="A35" s="102" t="inlineStr">
        <is>
          <t>TEAK_A</t>
        </is>
      </c>
      <c r="B35" s="103" t="inlineStr">
        <is>
          <t>Teak tier A</t>
        </is>
      </c>
      <c r="C35" s="108" t="n">
        <v>27507965.09</v>
      </c>
      <c r="D35" s="96" t="inlineStr">
        <is>
          <t>IDR/m³</t>
        </is>
      </c>
      <c r="E35" s="96" t="inlineStr">
        <is>
          <t>(log + processing) × yield + labour</t>
        </is>
      </c>
      <c r="F35" s="95" t="n"/>
      <c r="G35" s="95" t="n"/>
      <c r="H35" s="95" t="n"/>
      <c r="I35" s="95" t="n"/>
    </row>
    <row r="36">
      <c r="A36" s="102" t="inlineStr">
        <is>
          <t>TEAK_AC</t>
        </is>
      </c>
      <c r="B36" s="103" t="inlineStr">
        <is>
          <t>Teak tier A-CURVED</t>
        </is>
      </c>
      <c r="C36" s="108" t="n">
        <v>34040953.31</v>
      </c>
      <c r="D36" s="96" t="inlineStr">
        <is>
          <t>IDR/m³</t>
        </is>
      </c>
      <c r="E36" s="95" t="n"/>
      <c r="F36" s="95" t="n"/>
      <c r="G36" s="95" t="n"/>
      <c r="H36" s="95" t="n"/>
      <c r="I36" s="95" t="n"/>
    </row>
    <row r="37">
      <c r="A37" s="102" t="inlineStr">
        <is>
          <t>TEAK_B</t>
        </is>
      </c>
      <c r="B37" s="103" t="inlineStr">
        <is>
          <t>Teak tier B</t>
        </is>
      </c>
      <c r="C37" s="108" t="n">
        <v>21568884.89</v>
      </c>
      <c r="D37" s="96" t="inlineStr">
        <is>
          <t>IDR/m³</t>
        </is>
      </c>
      <c r="E37" s="95" t="n"/>
      <c r="F37" s="95" t="n"/>
      <c r="G37" s="95" t="n"/>
      <c r="H37" s="95" t="n"/>
      <c r="I37" s="95" t="n"/>
    </row>
    <row r="38">
      <c r="A38" s="102" t="inlineStr">
        <is>
          <t>TEAK_C</t>
        </is>
      </c>
      <c r="B38" s="103" t="inlineStr">
        <is>
          <t>Teak tier C</t>
        </is>
      </c>
      <c r="C38" s="108" t="n">
        <v>18599344.79</v>
      </c>
      <c r="D38" s="96" t="inlineStr">
        <is>
          <t>IDR/m³</t>
        </is>
      </c>
      <c r="E38" s="95" t="n"/>
      <c r="F38" s="95" t="n"/>
      <c r="G38" s="95" t="n"/>
      <c r="H38" s="95" t="n"/>
      <c r="I38" s="95" t="n"/>
    </row>
    <row r="39">
      <c r="A39" s="102" t="inlineStr">
        <is>
          <t>TEAK_D</t>
        </is>
      </c>
      <c r="B39" s="103" t="inlineStr">
        <is>
          <t>Teak tier D</t>
        </is>
      </c>
      <c r="C39" s="108" t="n">
        <v>15629804.69</v>
      </c>
      <c r="D39" s="96" t="inlineStr">
        <is>
          <t>IDR/m³</t>
        </is>
      </c>
      <c r="E39" s="95" t="n"/>
      <c r="F39" s="95" t="n"/>
      <c r="G39" s="95" t="n"/>
      <c r="H39" s="95" t="n"/>
      <c r="I39" s="95" t="n"/>
    </row>
    <row r="40">
      <c r="A40" s="102" t="inlineStr">
        <is>
          <t>MINDI_A</t>
        </is>
      </c>
      <c r="B40" s="103" t="inlineStr">
        <is>
          <t>Mindi tier A</t>
        </is>
      </c>
      <c r="C40" s="108" t="n">
        <v>18057965.09</v>
      </c>
      <c r="D40" s="96" t="inlineStr">
        <is>
          <t>IDR/m³</t>
        </is>
      </c>
      <c r="E40" s="95" t="n"/>
      <c r="F40" s="95" t="n"/>
      <c r="G40" s="95" t="n"/>
      <c r="H40" s="95" t="n"/>
      <c r="I40" s="95" t="n"/>
    </row>
    <row r="41">
      <c r="A41" s="102" t="inlineStr">
        <is>
          <t>MINDI_AC</t>
        </is>
      </c>
      <c r="B41" s="103" t="inlineStr">
        <is>
          <t>Mindi tier A-CURVED</t>
        </is>
      </c>
      <c r="C41" s="108" t="n">
        <v>21620953.31</v>
      </c>
      <c r="D41" s="96" t="inlineStr">
        <is>
          <t>IDR/m³</t>
        </is>
      </c>
      <c r="E41" s="95" t="n"/>
      <c r="F41" s="95" t="n"/>
      <c r="G41" s="95" t="n"/>
      <c r="H41" s="95" t="n"/>
      <c r="I41" s="95" t="n"/>
    </row>
    <row r="42">
      <c r="A42" s="102" t="inlineStr">
        <is>
          <t>MINDI_B</t>
        </is>
      </c>
      <c r="B42" s="103" t="inlineStr">
        <is>
          <t>Mindi tier B</t>
        </is>
      </c>
      <c r="C42" s="108" t="n">
        <v>14818884.89</v>
      </c>
      <c r="D42" s="96" t="inlineStr">
        <is>
          <t>IDR/m³</t>
        </is>
      </c>
      <c r="E42" s="95" t="n"/>
      <c r="F42" s="95" t="n"/>
      <c r="G42" s="95" t="n"/>
      <c r="H42" s="95" t="n"/>
      <c r="I42" s="95" t="n"/>
    </row>
    <row r="43">
      <c r="A43" s="102" t="inlineStr">
        <is>
          <t>MINDI_C</t>
        </is>
      </c>
      <c r="B43" s="103" t="inlineStr">
        <is>
          <t>Mindi tier C</t>
        </is>
      </c>
      <c r="C43" s="108" t="n">
        <v>13199344.79</v>
      </c>
      <c r="D43" s="96" t="inlineStr">
        <is>
          <t>IDR/m³</t>
        </is>
      </c>
      <c r="E43" s="95" t="n"/>
      <c r="F43" s="95" t="n"/>
      <c r="G43" s="95" t="n"/>
      <c r="H43" s="95" t="n"/>
      <c r="I43" s="95" t="n"/>
    </row>
    <row r="44">
      <c r="A44" s="102" t="inlineStr">
        <is>
          <t>MINDI_D</t>
        </is>
      </c>
      <c r="B44" s="103" t="inlineStr">
        <is>
          <t>Mindi tier D</t>
        </is>
      </c>
      <c r="C44" s="108" t="n">
        <v>11579804.69</v>
      </c>
      <c r="D44" s="96" t="inlineStr">
        <is>
          <t>IDR/m³</t>
        </is>
      </c>
      <c r="E44" s="95" t="n"/>
      <c r="F44" s="95" t="n"/>
      <c r="G44" s="95" t="n"/>
      <c r="H44" s="95" t="n"/>
      <c r="I44" s="95" t="n"/>
    </row>
    <row r="45">
      <c r="A45" s="102" t="inlineStr">
        <is>
          <t>MERANTI</t>
        </is>
      </c>
      <c r="B45" s="103" t="inlineStr">
        <is>
          <t>Meranti, any tier</t>
        </is>
      </c>
      <c r="C45" s="108" t="n">
        <v>18196184.39</v>
      </c>
      <c r="D45" s="96" t="inlineStr">
        <is>
          <t>IDR/m³</t>
        </is>
      </c>
      <c r="E45" s="96" t="inlineStr">
        <is>
          <t>Sawn price × yield + labour, no processing</t>
        </is>
      </c>
      <c r="F45" s="95" t="n"/>
      <c r="G45" s="95" t="n"/>
      <c r="H45" s="95" t="n"/>
      <c r="I45" s="95" t="n"/>
    </row>
    <row r="46">
      <c r="A46" s="102" t="inlineStr">
        <is>
          <t>FASTENERS</t>
        </is>
      </c>
      <c r="B46" s="103" t="inlineStr">
        <is>
          <t>Screws, nails, dowels, glue per m³ of component</t>
        </is>
      </c>
      <c r="C46" s="108" t="n">
        <v>1000000</v>
      </c>
      <c r="D46" s="96" t="inlineStr">
        <is>
          <t>IDR/m³</t>
        </is>
      </c>
      <c r="E46" s="95" t="n"/>
      <c r="F46" s="95" t="n"/>
      <c r="G46" s="95" t="n"/>
      <c r="H46" s="95" t="n"/>
      <c r="I46" s="95" t="n"/>
    </row>
    <row r="47">
      <c r="A47" s="102" t="inlineStr">
        <is>
          <t>FIN_MAT</t>
        </is>
      </c>
      <c r="B47" s="103" t="inlineStr">
        <is>
          <t>Finishing materials (Zhanchen + thinner) per m² exposed</t>
        </is>
      </c>
      <c r="C47" s="109" t="n">
        <v>37000</v>
      </c>
      <c r="D47" s="96" t="inlineStr">
        <is>
          <t>IDR/m²</t>
        </is>
      </c>
      <c r="E47" s="95" t="n"/>
      <c r="F47" s="95" t="n"/>
      <c r="G47" s="95" t="n"/>
      <c r="H47" s="95" t="n"/>
      <c r="I47" s="95" t="n"/>
    </row>
    <row r="48">
      <c r="A48" s="102" t="inlineStr">
        <is>
          <t>SAND_MAT</t>
        </is>
      </c>
      <c r="B48" s="103" t="inlineStr">
        <is>
          <t>Sanding materials (abrasives) per m² exposed</t>
        </is>
      </c>
      <c r="C48" s="109" t="n">
        <v>10235.64174</v>
      </c>
      <c r="D48" s="96" t="inlineStr">
        <is>
          <t>IDR/m²</t>
        </is>
      </c>
      <c r="E48" s="95" t="n"/>
      <c r="F48" s="95" t="n"/>
      <c r="G48" s="95" t="n"/>
      <c r="H48" s="95" t="n"/>
      <c r="I48" s="95" t="n"/>
    </row>
    <row r="49">
      <c r="A49" s="102" t="inlineStr">
        <is>
          <t>SAND_LAB</t>
        </is>
      </c>
      <c r="B49" s="103" t="inlineStr">
        <is>
          <t>Sanding labour (65% of sanding pool) per m² exposed</t>
        </is>
      </c>
      <c r="C49" s="109" t="n">
        <v>20000</v>
      </c>
      <c r="D49" s="96" t="inlineStr">
        <is>
          <t>IDR/m²</t>
        </is>
      </c>
      <c r="E49" s="95" t="n"/>
      <c r="F49" s="95" t="n"/>
      <c r="G49" s="95" t="n"/>
      <c r="H49" s="95" t="n"/>
      <c r="I49" s="95" t="n"/>
    </row>
    <row r="50">
      <c r="A50" s="102" t="inlineStr">
        <is>
          <t>FIN_LAB</t>
        </is>
      </c>
      <c r="B50" s="103" t="inlineStr">
        <is>
          <t>Finishing labour (finishing pool) per m² exposed</t>
        </is>
      </c>
      <c r="C50" s="109" t="n">
        <v>45000</v>
      </c>
      <c r="D50" s="96" t="inlineStr">
        <is>
          <t>IDR/m²</t>
        </is>
      </c>
      <c r="E50" s="95" t="n"/>
      <c r="F50" s="95" t="n"/>
      <c r="G50" s="95" t="n"/>
      <c r="H50" s="95" t="n"/>
      <c r="I50" s="95" t="n"/>
    </row>
    <row r="51">
      <c r="A51" s="102" t="inlineStr">
        <is>
          <t>CARTON_M2</t>
        </is>
      </c>
      <c r="B51" s="103" t="inlineStr">
        <is>
          <t>Carton + consumables per m² of carton board (6 sides)</t>
        </is>
      </c>
      <c r="C51" s="105" t="n">
        <v>40000</v>
      </c>
      <c r="D51" s="96" t="inlineStr">
        <is>
          <t>IDR/m²</t>
        </is>
      </c>
      <c r="E51" s="96" t="inlineStr">
        <is>
          <t>Cartons 59.4m + 40% of other packing materials</t>
        </is>
      </c>
      <c r="F51" s="95" t="n"/>
      <c r="G51" s="95" t="n"/>
      <c r="H51" s="95" t="n"/>
      <c r="I51" s="95" t="n"/>
    </row>
    <row r="52">
      <c r="A52" s="102" t="inlineStr">
        <is>
          <t>PACK_LAB</t>
        </is>
      </c>
      <c r="B52" s="103" t="inlineStr">
        <is>
          <t>Packing labour per m³ of carton</t>
        </is>
      </c>
      <c r="C52" s="104" t="n">
        <v>50000</v>
      </c>
      <c r="D52" s="96" t="inlineStr">
        <is>
          <t>IDR/m³</t>
        </is>
      </c>
      <c r="E52" s="96" t="inlineStr">
        <is>
          <t>6 people × 8 days per container. Status CONFIRM</t>
        </is>
      </c>
      <c r="F52" s="95" t="n"/>
      <c r="G52" s="95" t="n"/>
      <c r="H52" s="95" t="n"/>
      <c r="I52" s="95" t="n"/>
    </row>
    <row r="53">
      <c r="A53" s="102" t="inlineStr">
        <is>
          <t>GRP_A</t>
        </is>
      </c>
      <c r="B53" s="103" t="inlineStr">
        <is>
          <t>Carton group A price (boxes under CARTON_MIN_M2)</t>
        </is>
      </c>
      <c r="C53" s="105" t="n">
        <v>24000</v>
      </c>
      <c r="D53" s="96" t="inlineStr">
        <is>
          <t>IDR</t>
        </is>
      </c>
      <c r="E53" s="96" t="inlineStr">
        <is>
          <t>STMV carton groups, 28 Sep</t>
        </is>
      </c>
      <c r="F53" s="95" t="n"/>
      <c r="G53" s="95" t="n"/>
      <c r="H53" s="95" t="n"/>
      <c r="I53" s="95" t="n"/>
    </row>
    <row r="54">
      <c r="A54" s="102" t="inlineStr">
        <is>
          <t>MISC_PCT</t>
        </is>
      </c>
      <c r="B54" s="103" t="inlineStr">
        <is>
          <t>Miscellaneous, × direct cost</t>
        </is>
      </c>
      <c r="C54" s="106" t="n">
        <v>0.05</v>
      </c>
      <c r="D54" s="96" t="inlineStr">
        <is>
          <t>%</t>
        </is>
      </c>
      <c r="E54" s="96" t="inlineStr">
        <is>
          <t>Decision 29 Sep</t>
        </is>
      </c>
      <c r="F54" s="95" t="n"/>
      <c r="G54" s="95" t="n"/>
      <c r="H54" s="95" t="n"/>
      <c r="I54" s="95" t="n"/>
    </row>
    <row r="55">
      <c r="A55" s="102" t="inlineStr">
        <is>
          <t>OH_PCT</t>
        </is>
      </c>
      <c r="B55" s="103" t="inlineStr">
        <is>
          <t>Overhead, × (direct + misc)</t>
        </is>
      </c>
      <c r="C55" s="110">
        <f>$C$26/$C$27</f>
        <v/>
      </c>
      <c r="D55" s="96" t="inlineStr">
        <is>
          <t>%</t>
        </is>
      </c>
      <c r="E55" s="96" t="inlineStr">
        <is>
          <t>Overhead pool ÷ STMV direct cost</t>
        </is>
      </c>
      <c r="F55" s="95" t="n"/>
      <c r="G55" s="95" t="n"/>
      <c r="H55" s="95" t="n"/>
      <c r="I55" s="95" t="n"/>
    </row>
    <row r="56">
      <c r="A56" s="97" t="inlineStr">
        <is>
          <t>PLYWOOD per 2440 × 1220 sheet. RAW = board only; MSF / MDF = mindi veneer 1 / 2 faces; TSF / TDF = teak veneer 1 / 2 faces</t>
        </is>
      </c>
      <c r="B56" s="98" t="n"/>
      <c r="C56" s="98" t="n"/>
      <c r="D56" s="98" t="n"/>
      <c r="E56" s="98" t="n"/>
      <c r="F56" s="98" t="n"/>
      <c r="G56" s="98" t="n"/>
      <c r="H56" s="98" t="n"/>
      <c r="I56" s="98" t="n"/>
    </row>
    <row r="57">
      <c r="A57" s="102" t="inlineStr">
        <is>
          <t>VEN_TEAK_FACE</t>
        </is>
      </c>
      <c r="B57" s="103" t="inlineStr">
        <is>
          <t>Teak veneer added cost per face (veneer + glue/tape + pressing labour)</t>
        </is>
      </c>
      <c r="C57" s="109">
        <f>$C$29*$C$31+$C$28*(LISTS!$F$6*LISTS!$F$7/1000000)+$C$32</f>
        <v/>
      </c>
      <c r="D57" s="96" t="inlineStr">
        <is>
          <t>IDR/face</t>
        </is>
      </c>
      <c r="E57" s="95" t="n"/>
      <c r="F57" s="95" t="n"/>
      <c r="G57" s="95" t="n"/>
      <c r="H57" s="95" t="n"/>
      <c r="I57" s="95" t="n"/>
    </row>
    <row r="58">
      <c r="A58" s="102" t="inlineStr">
        <is>
          <t>VEN_MINDI_FACE</t>
        </is>
      </c>
      <c r="B58" s="103" t="inlineStr">
        <is>
          <t>Mindi veneer added cost per face</t>
        </is>
      </c>
      <c r="C58" s="111" t="n">
        <v>18000</v>
      </c>
      <c r="D58" s="96" t="inlineStr">
        <is>
          <t>m2</t>
        </is>
      </c>
      <c r="E58" s="95" t="n"/>
      <c r="F58" s="95" t="n"/>
      <c r="G58" s="95" t="n"/>
      <c r="H58" s="95" t="n"/>
      <c r="I58" s="95" t="n"/>
    </row>
    <row r="59">
      <c r="A59" s="102" t="inlineStr">
        <is>
          <t>PLY-3-RAW</t>
        </is>
      </c>
      <c r="B59" s="103" t="inlineStr">
        <is>
          <t>Plywood 3 mm, raw</t>
        </is>
      </c>
      <c r="C59" s="105">
        <f>G59</f>
        <v/>
      </c>
      <c r="D59" s="96" t="inlineStr">
        <is>
          <t>IDR/sheet</t>
        </is>
      </c>
      <c r="E59" s="96" t="inlineStr">
        <is>
          <t>E2 landed Kudus (Linyi quote 16 Oct 2026). Grade LOCKED E2</t>
        </is>
      </c>
      <c r="F59" s="112">
        <f t="array" ref="F59">INDEX($F$178:$F$215,MATCH("LND-PLY-"&amp;$C$174&amp;"-3",$A$178:$A$215,0))</f>
        <v/>
      </c>
      <c r="G59" s="112">
        <f>F59*$C$172</f>
        <v/>
      </c>
      <c r="H59" s="95" t="n"/>
      <c r="I59" s="95" t="n"/>
    </row>
    <row r="60">
      <c r="A60" s="102" t="inlineStr">
        <is>
          <t>PLY-3-MSF</t>
        </is>
      </c>
      <c r="B60" s="103" t="inlineStr">
        <is>
          <t>Plywood 3 mm, mindi single face</t>
        </is>
      </c>
      <c r="C60" s="109">
        <f>C59+$C$175</f>
        <v/>
      </c>
      <c r="D60" s="96" t="inlineStr">
        <is>
          <t>IDR/sheet</t>
        </is>
      </c>
      <c r="E60" s="95" t="n"/>
      <c r="F60" s="95" t="n"/>
      <c r="G60" s="95" t="n"/>
      <c r="H60" s="95" t="n"/>
      <c r="I60" s="95" t="n"/>
    </row>
    <row r="61">
      <c r="A61" s="102" t="inlineStr">
        <is>
          <t>PLY-3-MDF</t>
        </is>
      </c>
      <c r="B61" s="103" t="inlineStr">
        <is>
          <t>Plywood 3 mm, mindi double face</t>
        </is>
      </c>
      <c r="C61" s="109">
        <f>C59+2*$C$175</f>
        <v/>
      </c>
      <c r="D61" s="96" t="inlineStr">
        <is>
          <t>IDR/sheet</t>
        </is>
      </c>
      <c r="E61" s="95" t="n"/>
      <c r="F61" s="95" t="n"/>
      <c r="G61" s="95" t="n"/>
      <c r="H61" s="95" t="n"/>
      <c r="I61" s="95" t="n"/>
    </row>
    <row r="62">
      <c r="A62" s="102" t="inlineStr">
        <is>
          <t>PLY-3-TSF</t>
        </is>
      </c>
      <c r="B62" s="103" t="inlineStr">
        <is>
          <t>Plywood 3 mm, teak single face</t>
        </is>
      </c>
      <c r="C62" s="109">
        <f>C59+$C$176</f>
        <v/>
      </c>
      <c r="D62" s="96" t="inlineStr">
        <is>
          <t>IDR/sheet</t>
        </is>
      </c>
      <c r="E62" s="95" t="n"/>
      <c r="F62" s="95" t="n"/>
      <c r="G62" s="95" t="n"/>
      <c r="H62" s="95" t="n"/>
      <c r="I62" s="95" t="n"/>
    </row>
    <row r="63">
      <c r="A63" s="102" t="inlineStr">
        <is>
          <t>PLY-3-TDF</t>
        </is>
      </c>
      <c r="B63" s="103" t="inlineStr">
        <is>
          <t>Plywood 3 mm, teak double face</t>
        </is>
      </c>
      <c r="C63" s="109">
        <f>C59+2*$C$176</f>
        <v/>
      </c>
      <c r="D63" s="96" t="inlineStr">
        <is>
          <t>IDR/sheet</t>
        </is>
      </c>
      <c r="E63" s="95" t="n"/>
      <c r="F63" s="95" t="n"/>
      <c r="G63" s="95" t="n"/>
      <c r="H63" s="95" t="n"/>
      <c r="I63" s="95" t="n"/>
    </row>
    <row r="64">
      <c r="A64" s="102" t="inlineStr">
        <is>
          <t>PLY-6-RAW</t>
        </is>
      </c>
      <c r="B64" s="103" t="inlineStr">
        <is>
          <t>Plywood 6 mm, raw</t>
        </is>
      </c>
      <c r="C64" s="105">
        <f>G64</f>
        <v/>
      </c>
      <c r="D64" s="96" t="inlineStr">
        <is>
          <t>IDR/sheet</t>
        </is>
      </c>
      <c r="E64" s="96" t="inlineStr">
        <is>
          <t>E2 landed Kudus (Linyi quote 16 Oct 2026). Grade LOCKED E2</t>
        </is>
      </c>
      <c r="F64" s="112">
        <f t="array" ref="F64">INDEX($F$178:$F$215,MATCH("LND-PLY-"&amp;$C$174&amp;"-6",$A$178:$A$215,0))</f>
        <v/>
      </c>
      <c r="G64" s="112">
        <f>F64*$C$172</f>
        <v/>
      </c>
      <c r="H64" s="95" t="n"/>
      <c r="I64" s="95" t="n"/>
    </row>
    <row r="65">
      <c r="A65" s="102" t="inlineStr">
        <is>
          <t>PLY-6-MSF</t>
        </is>
      </c>
      <c r="B65" s="103" t="inlineStr">
        <is>
          <t>Plywood 6 mm, mindi single face</t>
        </is>
      </c>
      <c r="C65" s="109">
        <f>C64+$C$175</f>
        <v/>
      </c>
      <c r="D65" s="96" t="inlineStr">
        <is>
          <t>IDR/sheet</t>
        </is>
      </c>
      <c r="E65" s="95" t="n"/>
      <c r="F65" s="95" t="n"/>
      <c r="G65" s="95" t="n"/>
      <c r="H65" s="95" t="n"/>
      <c r="I65" s="95" t="n"/>
    </row>
    <row r="66">
      <c r="A66" s="102" t="inlineStr">
        <is>
          <t>PLY-6-MDF</t>
        </is>
      </c>
      <c r="B66" s="103" t="inlineStr">
        <is>
          <t>Plywood 6 mm, mindi double face</t>
        </is>
      </c>
      <c r="C66" s="109">
        <f>C64+2*$C$175</f>
        <v/>
      </c>
      <c r="D66" s="96" t="inlineStr">
        <is>
          <t>IDR/sheet</t>
        </is>
      </c>
      <c r="E66" s="95" t="n"/>
      <c r="F66" s="95" t="n"/>
      <c r="G66" s="95" t="n"/>
      <c r="H66" s="95" t="n"/>
      <c r="I66" s="95" t="n"/>
    </row>
    <row r="67">
      <c r="A67" s="102" t="inlineStr">
        <is>
          <t>PLY-6-TSF</t>
        </is>
      </c>
      <c r="B67" s="103" t="inlineStr">
        <is>
          <t>Plywood 6 mm, teak single face</t>
        </is>
      </c>
      <c r="C67" s="109">
        <f>C64+$C$176</f>
        <v/>
      </c>
      <c r="D67" s="96" t="inlineStr">
        <is>
          <t>IDR/sheet</t>
        </is>
      </c>
      <c r="E67" s="95" t="n"/>
      <c r="F67" s="95" t="n"/>
      <c r="G67" s="95" t="n"/>
      <c r="H67" s="95" t="n"/>
      <c r="I67" s="95" t="n"/>
    </row>
    <row r="68">
      <c r="A68" s="102" t="inlineStr">
        <is>
          <t>PLY-6-TDF</t>
        </is>
      </c>
      <c r="B68" s="103" t="inlineStr">
        <is>
          <t>Plywood 6 mm, teak double face</t>
        </is>
      </c>
      <c r="C68" s="109">
        <f>C64+2*$C$176</f>
        <v/>
      </c>
      <c r="D68" s="96" t="inlineStr">
        <is>
          <t>IDR/sheet</t>
        </is>
      </c>
      <c r="E68" s="95" t="n"/>
      <c r="F68" s="95" t="n"/>
      <c r="G68" s="95" t="n"/>
      <c r="H68" s="95" t="n"/>
      <c r="I68" s="95" t="n"/>
    </row>
    <row r="69">
      <c r="A69" s="102" t="inlineStr">
        <is>
          <t>PLY-9-RAW</t>
        </is>
      </c>
      <c r="B69" s="103" t="inlineStr">
        <is>
          <t>Plywood 9 mm, raw</t>
        </is>
      </c>
      <c r="C69" s="105">
        <f>G69</f>
        <v/>
      </c>
      <c r="D69" s="96" t="inlineStr">
        <is>
          <t>IDR/sheet</t>
        </is>
      </c>
      <c r="E69" s="96" t="inlineStr">
        <is>
          <t>E2 landed Kudus (Linyi quote 16 Oct 2026). Grade LOCKED E2</t>
        </is>
      </c>
      <c r="F69" s="112">
        <f t="array" ref="F69">INDEX($F$178:$F$215,MATCH("LND-PLY-"&amp;$C$174&amp;"-9",$A$178:$A$215,0))</f>
        <v/>
      </c>
      <c r="G69" s="112">
        <f>F69*$C$172</f>
        <v/>
      </c>
      <c r="H69" s="95" t="n"/>
      <c r="I69" s="95" t="n"/>
    </row>
    <row r="70">
      <c r="A70" s="102" t="inlineStr">
        <is>
          <t>PLY-9-MSF</t>
        </is>
      </c>
      <c r="B70" s="103" t="inlineStr">
        <is>
          <t>Plywood 9 mm, mindi single face</t>
        </is>
      </c>
      <c r="C70" s="109">
        <f>C69+$C$175</f>
        <v/>
      </c>
      <c r="D70" s="96" t="inlineStr">
        <is>
          <t>IDR/sheet</t>
        </is>
      </c>
      <c r="E70" s="95" t="n"/>
      <c r="F70" s="95" t="n"/>
      <c r="G70" s="95" t="n"/>
      <c r="H70" s="95" t="n"/>
      <c r="I70" s="95" t="n"/>
    </row>
    <row r="71">
      <c r="A71" s="102" t="inlineStr">
        <is>
          <t>PLY-9-MDF</t>
        </is>
      </c>
      <c r="B71" s="103" t="inlineStr">
        <is>
          <t>Plywood 9 mm, mindi double face</t>
        </is>
      </c>
      <c r="C71" s="109">
        <f>C69+2*$C$175</f>
        <v/>
      </c>
      <c r="D71" s="96" t="inlineStr">
        <is>
          <t>IDR/sheet</t>
        </is>
      </c>
      <c r="E71" s="95" t="n"/>
      <c r="F71" s="95" t="n"/>
      <c r="G71" s="95" t="n"/>
      <c r="H71" s="95" t="n"/>
      <c r="I71" s="95" t="n"/>
    </row>
    <row r="72">
      <c r="A72" s="102" t="inlineStr">
        <is>
          <t>PLY-9-TSF</t>
        </is>
      </c>
      <c r="B72" s="103" t="inlineStr">
        <is>
          <t>Plywood 9 mm, teak single face</t>
        </is>
      </c>
      <c r="C72" s="109">
        <f>C69+$C$176</f>
        <v/>
      </c>
      <c r="D72" s="96" t="inlineStr">
        <is>
          <t>IDR/sheet</t>
        </is>
      </c>
      <c r="E72" s="95" t="n"/>
      <c r="F72" s="95" t="n"/>
      <c r="G72" s="95" t="n"/>
      <c r="H72" s="95" t="n"/>
      <c r="I72" s="95" t="n"/>
    </row>
    <row r="73">
      <c r="A73" s="102" t="inlineStr">
        <is>
          <t>PLY-9-TDF</t>
        </is>
      </c>
      <c r="B73" s="103" t="inlineStr">
        <is>
          <t>Plywood 9 mm, teak double face</t>
        </is>
      </c>
      <c r="C73" s="109">
        <f>C69+2*$C$176</f>
        <v/>
      </c>
      <c r="D73" s="96" t="inlineStr">
        <is>
          <t>IDR/sheet</t>
        </is>
      </c>
      <c r="E73" s="95" t="n"/>
      <c r="F73" s="95" t="n"/>
      <c r="G73" s="95" t="n"/>
      <c r="H73" s="95" t="n"/>
      <c r="I73" s="95" t="n"/>
    </row>
    <row r="74">
      <c r="A74" s="102" t="inlineStr">
        <is>
          <t>PLY-12-RAW</t>
        </is>
      </c>
      <c r="B74" s="103" t="inlineStr">
        <is>
          <t>Plywood 12 mm, raw</t>
        </is>
      </c>
      <c r="C74" s="105">
        <f>G74</f>
        <v/>
      </c>
      <c r="D74" s="96" t="inlineStr">
        <is>
          <t>IDR/sheet</t>
        </is>
      </c>
      <c r="E74" s="96" t="inlineStr">
        <is>
          <t>E2 landed Kudus (Linyi quote 16 Oct 2026). Grade LOCKED E2</t>
        </is>
      </c>
      <c r="F74" s="112">
        <f t="array" ref="F74">INDEX($F$178:$F$215,MATCH("LND-PLY-"&amp;$C$174&amp;"-12",$A$178:$A$215,0))</f>
        <v/>
      </c>
      <c r="G74" s="112">
        <f>F74*$C$172</f>
        <v/>
      </c>
      <c r="H74" s="95" t="n"/>
      <c r="I74" s="95" t="n"/>
    </row>
    <row r="75">
      <c r="A75" s="102" t="inlineStr">
        <is>
          <t>PLY-12-MSF</t>
        </is>
      </c>
      <c r="B75" s="103" t="inlineStr">
        <is>
          <t>Plywood 12 mm, mindi single face</t>
        </is>
      </c>
      <c r="C75" s="109">
        <f>C74+$C$175</f>
        <v/>
      </c>
      <c r="D75" s="96" t="inlineStr">
        <is>
          <t>IDR/sheet</t>
        </is>
      </c>
      <c r="E75" s="95" t="n"/>
      <c r="F75" s="95" t="n"/>
      <c r="G75" s="95" t="n"/>
      <c r="H75" s="95" t="n"/>
      <c r="I75" s="95" t="n"/>
    </row>
    <row r="76">
      <c r="A76" s="102" t="inlineStr">
        <is>
          <t>PLY-12-MDF</t>
        </is>
      </c>
      <c r="B76" s="103" t="inlineStr">
        <is>
          <t>Plywood 12 mm, mindi double face</t>
        </is>
      </c>
      <c r="C76" s="109">
        <f>C74+2*$C$175</f>
        <v/>
      </c>
      <c r="D76" s="96" t="inlineStr">
        <is>
          <t>IDR/sheet</t>
        </is>
      </c>
      <c r="E76" s="95" t="n"/>
      <c r="F76" s="95" t="n"/>
      <c r="G76" s="95" t="n"/>
      <c r="H76" s="95" t="n"/>
      <c r="I76" s="95" t="n"/>
    </row>
    <row r="77">
      <c r="A77" s="102" t="inlineStr">
        <is>
          <t>PLY-12-TSF</t>
        </is>
      </c>
      <c r="B77" s="103" t="inlineStr">
        <is>
          <t>Plywood 12 mm, teak single face</t>
        </is>
      </c>
      <c r="C77" s="109">
        <f>C74+$C$176</f>
        <v/>
      </c>
      <c r="D77" s="96" t="inlineStr">
        <is>
          <t>IDR/sheet</t>
        </is>
      </c>
      <c r="E77" s="95" t="n"/>
      <c r="F77" s="95" t="n"/>
      <c r="G77" s="95" t="n"/>
      <c r="H77" s="95" t="n"/>
      <c r="I77" s="95" t="n"/>
    </row>
    <row r="78">
      <c r="A78" s="102" t="inlineStr">
        <is>
          <t>PLY-12-TDF</t>
        </is>
      </c>
      <c r="B78" s="103" t="inlineStr">
        <is>
          <t>Plywood 12 mm, teak double face</t>
        </is>
      </c>
      <c r="C78" s="109">
        <f>C74+2*$C$176</f>
        <v/>
      </c>
      <c r="D78" s="96" t="inlineStr">
        <is>
          <t>IDR/sheet</t>
        </is>
      </c>
      <c r="E78" s="95" t="n"/>
      <c r="F78" s="95" t="n"/>
      <c r="G78" s="95" t="n"/>
      <c r="H78" s="95" t="n"/>
      <c r="I78" s="95" t="n"/>
    </row>
    <row r="79">
      <c r="A79" s="102" t="inlineStr">
        <is>
          <t>PLY-15-RAW</t>
        </is>
      </c>
      <c r="B79" s="103" t="inlineStr">
        <is>
          <t>Plywood 15 mm, raw</t>
        </is>
      </c>
      <c r="C79" s="105" t="n">
        <v>260000</v>
      </c>
      <c r="D79" s="96" t="inlineStr">
        <is>
          <t>IDR/sheet</t>
        </is>
      </c>
      <c r="E79" s="96" t="inlineStr">
        <is>
          <t>E2 landed Kudus (Linyi quote 16 Oct 2026). Grade LOCKED E2</t>
        </is>
      </c>
      <c r="F79" s="112">
        <f t="array" ref="F79">INDEX($F$178:$F$215,MATCH("LND-PLY-"&amp;$C$174&amp;"-15",$A$178:$A$215,0))</f>
        <v/>
      </c>
      <c r="G79" s="112">
        <f>F79*$C$172</f>
        <v/>
      </c>
      <c r="H79" s="95" t="n"/>
      <c r="I79" s="95" t="n"/>
    </row>
    <row r="80">
      <c r="A80" s="102" t="inlineStr">
        <is>
          <t>PLY-15-MSF</t>
        </is>
      </c>
      <c r="B80" s="103" t="inlineStr">
        <is>
          <t>Plywood 15 mm, mindi single face</t>
        </is>
      </c>
      <c r="C80" s="109" t="n">
        <v>407709.02</v>
      </c>
      <c r="D80" s="96" t="inlineStr">
        <is>
          <t>IDR/sheet</t>
        </is>
      </c>
      <c r="E80" s="95" t="n"/>
      <c r="F80" s="95" t="n"/>
      <c r="G80" s="95" t="n"/>
      <c r="H80" s="95" t="n"/>
      <c r="I80" s="95" t="n"/>
    </row>
    <row r="81">
      <c r="A81" s="102" t="inlineStr">
        <is>
          <t>PLY-15-MDF</t>
        </is>
      </c>
      <c r="B81" s="103" t="inlineStr">
        <is>
          <t>Plywood 15 mm, mindi double face</t>
        </is>
      </c>
      <c r="C81" s="109" t="n">
        <v>555418.04</v>
      </c>
      <c r="D81" s="96" t="inlineStr">
        <is>
          <t>IDR/sheet</t>
        </is>
      </c>
      <c r="E81" s="95" t="n"/>
      <c r="F81" s="95" t="n"/>
      <c r="G81" s="95" t="n"/>
      <c r="H81" s="95" t="n"/>
      <c r="I81" s="95" t="n"/>
    </row>
    <row r="82">
      <c r="A82" s="102" t="inlineStr">
        <is>
          <t>PLY-15-TSF</t>
        </is>
      </c>
      <c r="B82" s="103" t="inlineStr">
        <is>
          <t>Plywood 15 mm, teak single face</t>
        </is>
      </c>
      <c r="C82" s="109" t="n">
        <v>601201.02</v>
      </c>
      <c r="D82" s="96" t="inlineStr">
        <is>
          <t>IDR/sheet</t>
        </is>
      </c>
      <c r="E82" s="95" t="n"/>
      <c r="F82" s="95" t="n"/>
      <c r="G82" s="95" t="n"/>
      <c r="H82" s="95" t="n"/>
      <c r="I82" s="95" t="n"/>
    </row>
    <row r="83">
      <c r="A83" s="102" t="inlineStr">
        <is>
          <t>PLY-15-TDF</t>
        </is>
      </c>
      <c r="B83" s="103" t="inlineStr">
        <is>
          <t>Plywood 15 mm, teak double face</t>
        </is>
      </c>
      <c r="C83" s="109" t="n">
        <v>942402.04</v>
      </c>
      <c r="D83" s="96" t="inlineStr">
        <is>
          <t>IDR/sheet</t>
        </is>
      </c>
      <c r="E83" s="95" t="n"/>
      <c r="F83" s="95" t="n"/>
      <c r="G83" s="95" t="n"/>
      <c r="H83" s="95" t="n"/>
      <c r="I83" s="95" t="n"/>
    </row>
    <row r="84">
      <c r="A84" s="102" t="inlineStr">
        <is>
          <t>PLY-18-RAW</t>
        </is>
      </c>
      <c r="B84" s="103" t="inlineStr">
        <is>
          <t>Plywood 18 mm, raw</t>
        </is>
      </c>
      <c r="C84" s="105">
        <f>G84</f>
        <v/>
      </c>
      <c r="D84" s="96" t="inlineStr">
        <is>
          <t>IDR/sheet</t>
        </is>
      </c>
      <c r="E84" s="96" t="inlineStr">
        <is>
          <t>E2 landed Kudus (Linyi quote 16 Oct 2026). Grade LOCKED E2</t>
        </is>
      </c>
      <c r="F84" s="112">
        <f t="array" ref="F84">INDEX($F$178:$F$215,MATCH("LND-PLY-"&amp;$C$174&amp;"-18",$A$178:$A$215,0))</f>
        <v/>
      </c>
      <c r="G84" s="112">
        <f>F84*$C$172</f>
        <v/>
      </c>
      <c r="H84" s="95" t="n"/>
      <c r="I84" s="95" t="n"/>
    </row>
    <row r="85">
      <c r="A85" s="102" t="inlineStr">
        <is>
          <t>PLY-18-MSF</t>
        </is>
      </c>
      <c r="B85" s="103" t="inlineStr">
        <is>
          <t>Plywood 18 mm, mindi single face</t>
        </is>
      </c>
      <c r="C85" s="109">
        <f>C84+$C$175</f>
        <v/>
      </c>
      <c r="D85" s="96" t="inlineStr">
        <is>
          <t>IDR/sheet</t>
        </is>
      </c>
      <c r="E85" s="95" t="n"/>
      <c r="F85" s="95" t="n"/>
      <c r="G85" s="95" t="n"/>
      <c r="H85" s="95" t="n"/>
      <c r="I85" s="95" t="n"/>
    </row>
    <row r="86">
      <c r="A86" s="102" t="inlineStr">
        <is>
          <t>PLY-18-MDF</t>
        </is>
      </c>
      <c r="B86" s="103" t="inlineStr">
        <is>
          <t>Plywood 18 mm, mindi double face</t>
        </is>
      </c>
      <c r="C86" s="109">
        <f>C84+2*$C$175</f>
        <v/>
      </c>
      <c r="D86" s="96" t="inlineStr">
        <is>
          <t>IDR/sheet</t>
        </is>
      </c>
      <c r="E86" s="95" t="n"/>
      <c r="F86" s="95" t="n"/>
      <c r="G86" s="95" t="n"/>
      <c r="H86" s="95" t="n"/>
      <c r="I86" s="95" t="n"/>
    </row>
    <row r="87">
      <c r="A87" s="102" t="inlineStr">
        <is>
          <t>PLY-18-TSF</t>
        </is>
      </c>
      <c r="B87" s="103" t="inlineStr">
        <is>
          <t>Plywood 18 mm, teak single face</t>
        </is>
      </c>
      <c r="C87" s="109">
        <f>C84+$C$176</f>
        <v/>
      </c>
      <c r="D87" s="96" t="inlineStr">
        <is>
          <t>IDR/sheet</t>
        </is>
      </c>
      <c r="E87" s="95" t="n"/>
      <c r="F87" s="95" t="n"/>
      <c r="G87" s="95" t="n"/>
      <c r="H87" s="95" t="n"/>
      <c r="I87" s="95" t="n"/>
    </row>
    <row r="88">
      <c r="A88" s="102" t="inlineStr">
        <is>
          <t>PLY-18-TDF</t>
        </is>
      </c>
      <c r="B88" s="103" t="inlineStr">
        <is>
          <t>Plywood 18 mm, teak double face</t>
        </is>
      </c>
      <c r="C88" s="109">
        <f>C84+2*$C$176</f>
        <v/>
      </c>
      <c r="D88" s="96" t="inlineStr">
        <is>
          <t>IDR/sheet</t>
        </is>
      </c>
      <c r="E88" s="95" t="n"/>
      <c r="F88" s="95" t="n"/>
      <c r="G88" s="95" t="n"/>
      <c r="H88" s="95" t="n"/>
      <c r="I88" s="95" t="n"/>
    </row>
    <row r="89">
      <c r="A89" s="102" t="inlineStr">
        <is>
          <t>PLY-24-RAW</t>
        </is>
      </c>
      <c r="B89" s="103" t="inlineStr">
        <is>
          <t>Plywood 24 mm, raw</t>
        </is>
      </c>
      <c r="C89" s="105" t="n">
        <v>375000</v>
      </c>
      <c r="D89" s="96" t="inlineStr">
        <is>
          <t>IDR/sheet</t>
        </is>
      </c>
      <c r="E89" s="96" t="inlineStr">
        <is>
          <t>Extrapolated. Status CONFIRM</t>
        </is>
      </c>
      <c r="F89" s="95" t="n"/>
      <c r="G89" s="95" t="n"/>
      <c r="H89" s="95" t="n"/>
      <c r="I89" s="95" t="n"/>
    </row>
    <row r="90">
      <c r="A90" s="102" t="inlineStr">
        <is>
          <t>PLY-24-MSF</t>
        </is>
      </c>
      <c r="B90" s="103" t="inlineStr">
        <is>
          <t>Plywood 24 mm, mindi single face</t>
        </is>
      </c>
      <c r="C90" s="109" t="n">
        <v>522709.02</v>
      </c>
      <c r="D90" s="96" t="inlineStr">
        <is>
          <t>IDR/sheet</t>
        </is>
      </c>
      <c r="E90" s="95" t="n"/>
      <c r="F90" s="95" t="n"/>
      <c r="G90" s="95" t="n"/>
      <c r="H90" s="95" t="n"/>
      <c r="I90" s="95" t="n"/>
    </row>
    <row r="91">
      <c r="A91" s="102" t="inlineStr">
        <is>
          <t>PLY-24-MDF</t>
        </is>
      </c>
      <c r="B91" s="103" t="inlineStr">
        <is>
          <t>Plywood 24 mm, mindi double face</t>
        </is>
      </c>
      <c r="C91" s="109" t="n">
        <v>670418.04</v>
      </c>
      <c r="D91" s="96" t="inlineStr">
        <is>
          <t>IDR/sheet</t>
        </is>
      </c>
      <c r="E91" s="95" t="n"/>
      <c r="F91" s="95" t="n"/>
      <c r="G91" s="95" t="n"/>
      <c r="H91" s="95" t="n"/>
      <c r="I91" s="95" t="n"/>
    </row>
    <row r="92">
      <c r="A92" s="102" t="inlineStr">
        <is>
          <t>PLY-24-TSF</t>
        </is>
      </c>
      <c r="B92" s="103" t="inlineStr">
        <is>
          <t>Plywood 24 mm, teak single face</t>
        </is>
      </c>
      <c r="C92" s="109" t="n">
        <v>716201.02</v>
      </c>
      <c r="D92" s="96" t="inlineStr">
        <is>
          <t>IDR/sheet</t>
        </is>
      </c>
      <c r="E92" s="95" t="n"/>
      <c r="F92" s="95" t="n"/>
      <c r="G92" s="95" t="n"/>
      <c r="H92" s="95" t="n"/>
      <c r="I92" s="95" t="n"/>
    </row>
    <row r="93">
      <c r="A93" s="102" t="inlineStr">
        <is>
          <t>PLY-24-TDF</t>
        </is>
      </c>
      <c r="B93" s="103" t="inlineStr">
        <is>
          <t>Plywood 24 mm, teak double face</t>
        </is>
      </c>
      <c r="C93" s="109" t="n">
        <v>1057402.04</v>
      </c>
      <c r="D93" s="96" t="inlineStr">
        <is>
          <t>IDR/sheet</t>
        </is>
      </c>
      <c r="E93" s="95" t="n"/>
      <c r="F93" s="95" t="n"/>
      <c r="G93" s="95" t="n"/>
      <c r="H93" s="95" t="n"/>
      <c r="I93" s="95" t="n"/>
    </row>
    <row r="94">
      <c r="A94" s="102" t="inlineStr">
        <is>
          <t>NORMS</t>
        </is>
      </c>
      <c r="B94" s="93" t="n"/>
      <c r="C94" s="94" t="n"/>
      <c r="D94" s="95" t="n"/>
      <c r="E94" s="95" t="n"/>
      <c r="F94" s="95" t="n"/>
      <c r="G94" s="95" t="n"/>
      <c r="H94" s="95" t="n"/>
      <c r="I94" s="95" t="n"/>
    </row>
    <row r="95">
      <c r="A95" s="102" t="inlineStr">
        <is>
          <t>CARTON_MIN_M2</t>
        </is>
      </c>
      <c r="B95" s="103" t="inlineStr">
        <is>
          <t>Below this carton area use group A price</t>
        </is>
      </c>
      <c r="C95" s="107" t="n">
        <v>0.15</v>
      </c>
      <c r="D95" s="96" t="inlineStr">
        <is>
          <t>m²</t>
        </is>
      </c>
      <c r="E95" s="95" t="n"/>
      <c r="F95" s="95" t="n"/>
      <c r="G95" s="95" t="n"/>
      <c r="H95" s="95" t="n"/>
      <c r="I95" s="95" t="n"/>
    </row>
    <row r="96">
      <c r="A96" s="102" t="inlineStr">
        <is>
          <t>KD_PACK_FACTOR</t>
        </is>
      </c>
      <c r="B96" s="103" t="inlineStr">
        <is>
          <t>Extra consumables factor for flatpack (2+ boxes)</t>
        </is>
      </c>
      <c r="C96" s="106" t="n">
        <v>0</v>
      </c>
      <c r="D96" s="96" t="inlineStr">
        <is>
          <t>%</t>
        </is>
      </c>
      <c r="E96" s="96" t="inlineStr">
        <is>
          <t>0 = off</t>
        </is>
      </c>
      <c r="F96" s="95" t="n"/>
      <c r="G96" s="95" t="n"/>
      <c r="H96" s="95" t="n"/>
      <c r="I96" s="95" t="n"/>
    </row>
    <row r="97">
      <c r="A97" s="102" t="inlineStr">
        <is>
          <t>WASTE_REUSE_MIN</t>
        </is>
      </c>
      <c r="B97" s="103" t="inlineStr">
        <is>
          <t>Offcut on the last sheet counts as reusable when waste exceeds this</t>
        </is>
      </c>
      <c r="C97" s="106" t="n">
        <v>0.25</v>
      </c>
      <c r="D97" s="96" t="inlineStr">
        <is>
          <t>%</t>
        </is>
      </c>
      <c r="E97" s="96" t="inlineStr">
        <is>
          <t>Decision 29 Sep</t>
        </is>
      </c>
      <c r="F97" s="95" t="n"/>
      <c r="G97" s="95" t="n"/>
      <c r="H97" s="95" t="n"/>
      <c r="I97" s="95" t="n"/>
    </row>
    <row r="98">
      <c r="A98" s="102" t="inlineStr">
        <is>
          <t>OFFCUT_HANDLING</t>
        </is>
      </c>
      <c r="B98" s="103" t="inlineStr">
        <is>
          <t>Handling factor on fractional sheets when the offcut is reused</t>
        </is>
      </c>
      <c r="C98" s="106" t="n">
        <v>0.05</v>
      </c>
      <c r="D98" s="96" t="inlineStr">
        <is>
          <t>%</t>
        </is>
      </c>
      <c r="E98" s="95" t="n"/>
      <c r="F98" s="95" t="n"/>
      <c r="G98" s="95" t="n"/>
      <c r="H98" s="95" t="n"/>
      <c r="I98" s="95" t="n"/>
    </row>
    <row r="99">
      <c r="A99" s="113" t="inlineStr">
        <is>
          <t>PLY-12-CDF</t>
        </is>
      </c>
      <c r="B99" s="93" t="n"/>
      <c r="C99" s="114" t="n">
        <v>718794.04</v>
      </c>
      <c r="D99" s="113" t="inlineStr">
        <is>
          <t>IDR/sheet</t>
        </is>
      </c>
      <c r="E99" s="113" t="inlineStr">
        <is>
          <t>rate card DB (price list 2026)</t>
        </is>
      </c>
      <c r="F99" s="95" t="n"/>
      <c r="G99" s="95" t="n"/>
      <c r="H99" s="95" t="n"/>
      <c r="I99" s="95" t="n"/>
    </row>
    <row r="100">
      <c r="A100" s="113" t="inlineStr">
        <is>
          <t>PLY-12-CSF</t>
        </is>
      </c>
      <c r="B100" s="93" t="n"/>
      <c r="C100" s="114" t="n">
        <v>466897.02</v>
      </c>
      <c r="D100" s="113" t="inlineStr">
        <is>
          <t>IDR/sheet</t>
        </is>
      </c>
      <c r="E100" s="113" t="inlineStr">
        <is>
          <t>rate card DB (price list 2026)</t>
        </is>
      </c>
      <c r="F100" s="95" t="n"/>
      <c r="G100" s="95" t="n"/>
      <c r="H100" s="95" t="n"/>
      <c r="I100" s="95" t="n"/>
    </row>
    <row r="101">
      <c r="A101" s="113" t="inlineStr">
        <is>
          <t>PLY-12-HDF</t>
        </is>
      </c>
      <c r="B101" s="93" t="n"/>
      <c r="C101" s="114" t="n">
        <v>510418.04</v>
      </c>
      <c r="D101" s="113" t="inlineStr">
        <is>
          <t>IDR/sheet</t>
        </is>
      </c>
      <c r="E101" s="113" t="inlineStr">
        <is>
          <t>rate card DB (price list 2026)</t>
        </is>
      </c>
      <c r="F101" s="95" t="n"/>
      <c r="G101" s="95" t="n"/>
      <c r="H101" s="95" t="n"/>
      <c r="I101" s="95" t="n"/>
    </row>
    <row r="102">
      <c r="A102" s="113" t="inlineStr">
        <is>
          <t>PLY-12-HSF</t>
        </is>
      </c>
      <c r="B102" s="93" t="n"/>
      <c r="C102" s="114" t="n">
        <v>362709.02</v>
      </c>
      <c r="D102" s="113" t="inlineStr">
        <is>
          <t>IDR/sheet</t>
        </is>
      </c>
      <c r="E102" s="113" t="inlineStr">
        <is>
          <t>rate card DB (price list 2026)</t>
        </is>
      </c>
      <c r="F102" s="95" t="n"/>
      <c r="G102" s="95" t="n"/>
      <c r="H102" s="95" t="n"/>
      <c r="I102" s="95" t="n"/>
    </row>
    <row r="103">
      <c r="A103" s="113" t="inlineStr">
        <is>
          <t>PLY-12-ODF</t>
        </is>
      </c>
      <c r="B103" s="93" t="n"/>
      <c r="C103" s="114" t="n">
        <v>1016474.04</v>
      </c>
      <c r="D103" s="113" t="inlineStr">
        <is>
          <t>IDR/sheet</t>
        </is>
      </c>
      <c r="E103" s="113" t="inlineStr">
        <is>
          <t>rate card DB (price list 2026)</t>
        </is>
      </c>
      <c r="F103" s="95" t="n"/>
      <c r="G103" s="95" t="n"/>
      <c r="H103" s="95" t="n"/>
      <c r="I103" s="95" t="n"/>
    </row>
    <row r="104">
      <c r="A104" s="113" t="inlineStr">
        <is>
          <t>PLY-12-OSF</t>
        </is>
      </c>
      <c r="B104" s="93" t="n"/>
      <c r="C104" s="114" t="n">
        <v>615737.02</v>
      </c>
      <c r="D104" s="113" t="inlineStr">
        <is>
          <t>IDR/sheet</t>
        </is>
      </c>
      <c r="E104" s="113" t="inlineStr">
        <is>
          <t>rate card DB (price list 2026)</t>
        </is>
      </c>
      <c r="F104" s="95" t="n"/>
      <c r="G104" s="95" t="n"/>
      <c r="H104" s="95" t="n"/>
      <c r="I104" s="95" t="n"/>
    </row>
    <row r="105">
      <c r="A105" s="113" t="inlineStr">
        <is>
          <t>PLY-12-SDF</t>
        </is>
      </c>
      <c r="B105" s="93" t="n"/>
      <c r="C105" s="114" t="n">
        <v>689026.04</v>
      </c>
      <c r="D105" s="113" t="inlineStr">
        <is>
          <t>IDR/sheet</t>
        </is>
      </c>
      <c r="E105" s="113" t="inlineStr">
        <is>
          <t>rate card DB (price list 2026)</t>
        </is>
      </c>
      <c r="F105" s="95" t="n"/>
      <c r="G105" s="95" t="n"/>
      <c r="H105" s="95" t="n"/>
      <c r="I105" s="95" t="n"/>
    </row>
    <row r="106">
      <c r="A106" s="113" t="inlineStr">
        <is>
          <t>PLY-12-SSF</t>
        </is>
      </c>
      <c r="B106" s="93" t="n"/>
      <c r="C106" s="114" t="n">
        <v>452013.02</v>
      </c>
      <c r="D106" s="113" t="inlineStr">
        <is>
          <t>IDR/sheet</t>
        </is>
      </c>
      <c r="E106" s="113" t="inlineStr">
        <is>
          <t>rate card DB (price list 2026)</t>
        </is>
      </c>
      <c r="F106" s="95" t="n"/>
      <c r="G106" s="95" t="n"/>
      <c r="H106" s="95" t="n"/>
      <c r="I106" s="95" t="n"/>
    </row>
    <row r="107">
      <c r="A107" s="113" t="inlineStr">
        <is>
          <t>PLY-12-WDF</t>
        </is>
      </c>
      <c r="B107" s="93" t="n"/>
      <c r="C107" s="114" t="n">
        <v>1105778.04</v>
      </c>
      <c r="D107" s="113" t="inlineStr">
        <is>
          <t>IDR/sheet</t>
        </is>
      </c>
      <c r="E107" s="113" t="inlineStr">
        <is>
          <t>rate card DB (price list 2026)</t>
        </is>
      </c>
      <c r="F107" s="95" t="n"/>
      <c r="G107" s="95" t="n"/>
      <c r="H107" s="95" t="n"/>
      <c r="I107" s="95" t="n"/>
    </row>
    <row r="108">
      <c r="A108" s="113" t="inlineStr">
        <is>
          <t>PLY-12-WSF</t>
        </is>
      </c>
      <c r="B108" s="93" t="n"/>
      <c r="C108" s="114" t="n">
        <v>660389.02</v>
      </c>
      <c r="D108" s="113" t="inlineStr">
        <is>
          <t>IDR/sheet</t>
        </is>
      </c>
      <c r="E108" s="113" t="inlineStr">
        <is>
          <t>rate card DB (price list 2026)</t>
        </is>
      </c>
      <c r="F108" s="95" t="n"/>
      <c r="G108" s="95" t="n"/>
      <c r="H108" s="95" t="n"/>
      <c r="I108" s="95" t="n"/>
    </row>
    <row r="109">
      <c r="A109" s="113" t="inlineStr">
        <is>
          <t>PLY-15-CDF</t>
        </is>
      </c>
      <c r="B109" s="93" t="n"/>
      <c r="C109" s="114" t="n">
        <v>763794.04</v>
      </c>
      <c r="D109" s="113" t="inlineStr">
        <is>
          <t>IDR/sheet</t>
        </is>
      </c>
      <c r="E109" s="113" t="inlineStr">
        <is>
          <t>rate card DB (price list 2026)</t>
        </is>
      </c>
      <c r="F109" s="95" t="n"/>
      <c r="G109" s="95" t="n"/>
      <c r="H109" s="95" t="n"/>
      <c r="I109" s="95" t="n"/>
    </row>
    <row r="110">
      <c r="A110" s="113" t="inlineStr">
        <is>
          <t>PLY-15-CSF</t>
        </is>
      </c>
      <c r="B110" s="93" t="n"/>
      <c r="C110" s="114" t="n">
        <v>511897.02</v>
      </c>
      <c r="D110" s="113" t="inlineStr">
        <is>
          <t>IDR/sheet</t>
        </is>
      </c>
      <c r="E110" s="113" t="inlineStr">
        <is>
          <t>rate card DB (price list 2026)</t>
        </is>
      </c>
      <c r="F110" s="95" t="n"/>
      <c r="G110" s="95" t="n"/>
      <c r="H110" s="95" t="n"/>
      <c r="I110" s="95" t="n"/>
    </row>
    <row r="111">
      <c r="A111" s="113" t="inlineStr">
        <is>
          <t>PLY-15-HDF</t>
        </is>
      </c>
      <c r="B111" s="93" t="n"/>
      <c r="C111" s="114" t="n">
        <v>555418.04</v>
      </c>
      <c r="D111" s="113" t="inlineStr">
        <is>
          <t>IDR/sheet</t>
        </is>
      </c>
      <c r="E111" s="113" t="inlineStr">
        <is>
          <t>rate card DB (price list 2026)</t>
        </is>
      </c>
      <c r="F111" s="95" t="n"/>
      <c r="G111" s="95" t="n"/>
      <c r="H111" s="95" t="n"/>
      <c r="I111" s="95" t="n"/>
    </row>
    <row r="112">
      <c r="A112" s="113" t="inlineStr">
        <is>
          <t>PLY-15-HSF</t>
        </is>
      </c>
      <c r="B112" s="93" t="n"/>
      <c r="C112" s="114" t="n">
        <v>407709.02</v>
      </c>
      <c r="D112" s="113" t="inlineStr">
        <is>
          <t>IDR/sheet</t>
        </is>
      </c>
      <c r="E112" s="113" t="inlineStr">
        <is>
          <t>rate card DB (price list 2026)</t>
        </is>
      </c>
      <c r="F112" s="95" t="n"/>
      <c r="G112" s="95" t="n"/>
      <c r="H112" s="95" t="n"/>
      <c r="I112" s="95" t="n"/>
    </row>
    <row r="113">
      <c r="A113" s="113" t="inlineStr">
        <is>
          <t>PLY-15-ODF</t>
        </is>
      </c>
      <c r="B113" s="93" t="n"/>
      <c r="C113" s="114" t="n">
        <v>1061474.04</v>
      </c>
      <c r="D113" s="113" t="inlineStr">
        <is>
          <t>IDR/sheet</t>
        </is>
      </c>
      <c r="E113" s="113" t="inlineStr">
        <is>
          <t>rate card DB (price list 2026)</t>
        </is>
      </c>
      <c r="F113" s="95" t="n"/>
      <c r="G113" s="95" t="n"/>
      <c r="H113" s="95" t="n"/>
      <c r="I113" s="95" t="n"/>
    </row>
    <row r="114">
      <c r="A114" s="113" t="inlineStr">
        <is>
          <t>PLY-15-OSF</t>
        </is>
      </c>
      <c r="B114" s="93" t="n"/>
      <c r="C114" s="114" t="n">
        <v>660737.02</v>
      </c>
      <c r="D114" s="113" t="inlineStr">
        <is>
          <t>IDR/sheet</t>
        </is>
      </c>
      <c r="E114" s="113" t="inlineStr">
        <is>
          <t>rate card DB (price list 2026)</t>
        </is>
      </c>
      <c r="F114" s="95" t="n"/>
      <c r="G114" s="95" t="n"/>
      <c r="H114" s="95" t="n"/>
      <c r="I114" s="95" t="n"/>
    </row>
    <row r="115">
      <c r="A115" s="113" t="inlineStr">
        <is>
          <t>PLY-15-SDF</t>
        </is>
      </c>
      <c r="B115" s="93" t="n"/>
      <c r="C115" s="114" t="n">
        <v>734026.04</v>
      </c>
      <c r="D115" s="113" t="inlineStr">
        <is>
          <t>IDR/sheet</t>
        </is>
      </c>
      <c r="E115" s="113" t="inlineStr">
        <is>
          <t>rate card DB (price list 2026)</t>
        </is>
      </c>
      <c r="F115" s="95" t="n"/>
      <c r="G115" s="95" t="n"/>
      <c r="H115" s="95" t="n"/>
      <c r="I115" s="95" t="n"/>
    </row>
    <row r="116">
      <c r="A116" s="113" t="inlineStr">
        <is>
          <t>PLY-15-SSF</t>
        </is>
      </c>
      <c r="B116" s="93" t="n"/>
      <c r="C116" s="114" t="n">
        <v>497013.02</v>
      </c>
      <c r="D116" s="113" t="inlineStr">
        <is>
          <t>IDR/sheet</t>
        </is>
      </c>
      <c r="E116" s="113" t="inlineStr">
        <is>
          <t>rate card DB (price list 2026)</t>
        </is>
      </c>
      <c r="F116" s="95" t="n"/>
      <c r="G116" s="95" t="n"/>
      <c r="H116" s="95" t="n"/>
      <c r="I116" s="95" t="n"/>
    </row>
    <row r="117">
      <c r="A117" s="113" t="inlineStr">
        <is>
          <t>PLY-15-WDF</t>
        </is>
      </c>
      <c r="B117" s="93" t="n"/>
      <c r="C117" s="114" t="n">
        <v>1150778.04</v>
      </c>
      <c r="D117" s="113" t="inlineStr">
        <is>
          <t>IDR/sheet</t>
        </is>
      </c>
      <c r="E117" s="113" t="inlineStr">
        <is>
          <t>rate card DB (price list 2026)</t>
        </is>
      </c>
      <c r="F117" s="95" t="n"/>
      <c r="G117" s="95" t="n"/>
      <c r="H117" s="95" t="n"/>
      <c r="I117" s="95" t="n"/>
    </row>
    <row r="118">
      <c r="A118" s="113" t="inlineStr">
        <is>
          <t>PLY-15-WSF</t>
        </is>
      </c>
      <c r="B118" s="93" t="n"/>
      <c r="C118" s="114" t="n">
        <v>705389.02</v>
      </c>
      <c r="D118" s="113" t="inlineStr">
        <is>
          <t>IDR/sheet</t>
        </is>
      </c>
      <c r="E118" s="113" t="inlineStr">
        <is>
          <t>rate card DB (price list 2026)</t>
        </is>
      </c>
      <c r="F118" s="95" t="n"/>
      <c r="G118" s="95" t="n"/>
      <c r="H118" s="95" t="n"/>
      <c r="I118" s="95" t="n"/>
    </row>
    <row r="119">
      <c r="A119" s="113" t="inlineStr">
        <is>
          <t>PLY-18-CDF</t>
        </is>
      </c>
      <c r="B119" s="93" t="n"/>
      <c r="C119" s="114" t="n">
        <v>798794.04</v>
      </c>
      <c r="D119" s="113" t="inlineStr">
        <is>
          <t>IDR/sheet</t>
        </is>
      </c>
      <c r="E119" s="113" t="inlineStr">
        <is>
          <t>rate card DB (price list 2026)</t>
        </is>
      </c>
      <c r="F119" s="95" t="n"/>
      <c r="G119" s="95" t="n"/>
      <c r="H119" s="95" t="n"/>
      <c r="I119" s="95" t="n"/>
    </row>
    <row r="120">
      <c r="A120" s="113" t="inlineStr">
        <is>
          <t>PLY-18-CSF</t>
        </is>
      </c>
      <c r="B120" s="93" t="n"/>
      <c r="C120" s="114" t="n">
        <v>546897.02</v>
      </c>
      <c r="D120" s="113" t="inlineStr">
        <is>
          <t>IDR/sheet</t>
        </is>
      </c>
      <c r="E120" s="113" t="inlineStr">
        <is>
          <t>rate card DB (price list 2026)</t>
        </is>
      </c>
      <c r="F120" s="95" t="n"/>
      <c r="G120" s="95" t="n"/>
      <c r="H120" s="95" t="n"/>
      <c r="I120" s="95" t="n"/>
    </row>
    <row r="121">
      <c r="A121" s="113" t="inlineStr">
        <is>
          <t>PLY-18-HDF</t>
        </is>
      </c>
      <c r="B121" s="93" t="n"/>
      <c r="C121" s="114" t="n">
        <v>590418.04</v>
      </c>
      <c r="D121" s="113" t="inlineStr">
        <is>
          <t>IDR/sheet</t>
        </is>
      </c>
      <c r="E121" s="113" t="inlineStr">
        <is>
          <t>rate card DB (price list 2026)</t>
        </is>
      </c>
      <c r="F121" s="95" t="n"/>
      <c r="G121" s="95" t="n"/>
      <c r="H121" s="95" t="n"/>
      <c r="I121" s="95" t="n"/>
    </row>
    <row r="122">
      <c r="A122" s="113" t="inlineStr">
        <is>
          <t>PLY-18-HSF</t>
        </is>
      </c>
      <c r="B122" s="93" t="n"/>
      <c r="C122" s="114" t="n">
        <v>442709.02</v>
      </c>
      <c r="D122" s="113" t="inlineStr">
        <is>
          <t>IDR/sheet</t>
        </is>
      </c>
      <c r="E122" s="113" t="inlineStr">
        <is>
          <t>rate card DB (price list 2026)</t>
        </is>
      </c>
      <c r="F122" s="95" t="n"/>
      <c r="G122" s="95" t="n"/>
      <c r="H122" s="95" t="n"/>
      <c r="I122" s="95" t="n"/>
    </row>
    <row r="123">
      <c r="A123" s="113" t="inlineStr">
        <is>
          <t>PLY-18-ODF</t>
        </is>
      </c>
      <c r="B123" s="93" t="n"/>
      <c r="C123" s="114" t="n">
        <v>1096474.04</v>
      </c>
      <c r="D123" s="113" t="inlineStr">
        <is>
          <t>IDR/sheet</t>
        </is>
      </c>
      <c r="E123" s="113" t="inlineStr">
        <is>
          <t>rate card DB (price list 2026)</t>
        </is>
      </c>
      <c r="F123" s="95" t="n"/>
      <c r="G123" s="95" t="n"/>
      <c r="H123" s="95" t="n"/>
      <c r="I123" s="95" t="n"/>
    </row>
    <row r="124">
      <c r="A124" s="113" t="inlineStr">
        <is>
          <t>PLY-18-OSF</t>
        </is>
      </c>
      <c r="B124" s="93" t="n"/>
      <c r="C124" s="114" t="n">
        <v>695737.02</v>
      </c>
      <c r="D124" s="113" t="inlineStr">
        <is>
          <t>IDR/sheet</t>
        </is>
      </c>
      <c r="E124" s="113" t="inlineStr">
        <is>
          <t>rate card DB (price list 2026)</t>
        </is>
      </c>
      <c r="F124" s="95" t="n"/>
      <c r="G124" s="95" t="n"/>
      <c r="H124" s="95" t="n"/>
      <c r="I124" s="95" t="n"/>
    </row>
    <row r="125">
      <c r="A125" s="113" t="inlineStr">
        <is>
          <t>PLY-18-SDF</t>
        </is>
      </c>
      <c r="B125" s="93" t="n"/>
      <c r="C125" s="114" t="n">
        <v>769026.04</v>
      </c>
      <c r="D125" s="113" t="inlineStr">
        <is>
          <t>IDR/sheet</t>
        </is>
      </c>
      <c r="E125" s="113" t="inlineStr">
        <is>
          <t>rate card DB (price list 2026)</t>
        </is>
      </c>
      <c r="F125" s="95" t="n"/>
      <c r="G125" s="95" t="n"/>
      <c r="H125" s="95" t="n"/>
      <c r="I125" s="95" t="n"/>
    </row>
    <row r="126">
      <c r="A126" s="113" t="inlineStr">
        <is>
          <t>PLY-18-SSF</t>
        </is>
      </c>
      <c r="B126" s="93" t="n"/>
      <c r="C126" s="114" t="n">
        <v>532013.02</v>
      </c>
      <c r="D126" s="113" t="inlineStr">
        <is>
          <t>IDR/sheet</t>
        </is>
      </c>
      <c r="E126" s="113" t="inlineStr">
        <is>
          <t>rate card DB (price list 2026)</t>
        </is>
      </c>
      <c r="F126" s="95" t="n"/>
      <c r="G126" s="95" t="n"/>
      <c r="H126" s="95" t="n"/>
      <c r="I126" s="95" t="n"/>
    </row>
    <row r="127">
      <c r="A127" s="113" t="inlineStr">
        <is>
          <t>PLY-18-WDF</t>
        </is>
      </c>
      <c r="B127" s="93" t="n"/>
      <c r="C127" s="114" t="n">
        <v>1185778.04</v>
      </c>
      <c r="D127" s="113" t="inlineStr">
        <is>
          <t>IDR/sheet</t>
        </is>
      </c>
      <c r="E127" s="113" t="inlineStr">
        <is>
          <t>rate card DB (price list 2026)</t>
        </is>
      </c>
      <c r="F127" s="95" t="n"/>
      <c r="G127" s="95" t="n"/>
      <c r="H127" s="95" t="n"/>
      <c r="I127" s="95" t="n"/>
    </row>
    <row r="128">
      <c r="A128" s="113" t="inlineStr">
        <is>
          <t>PLY-18-WSF</t>
        </is>
      </c>
      <c r="B128" s="93" t="n"/>
      <c r="C128" s="114" t="n">
        <v>740389.02</v>
      </c>
      <c r="D128" s="113" t="inlineStr">
        <is>
          <t>IDR/sheet</t>
        </is>
      </c>
      <c r="E128" s="113" t="inlineStr">
        <is>
          <t>rate card DB (price list 2026)</t>
        </is>
      </c>
      <c r="F128" s="95" t="n"/>
      <c r="G128" s="95" t="n"/>
      <c r="H128" s="95" t="n"/>
      <c r="I128" s="95" t="n"/>
    </row>
    <row r="129">
      <c r="A129" s="113" t="inlineStr">
        <is>
          <t>PLY-24-CDF</t>
        </is>
      </c>
      <c r="B129" s="93" t="n"/>
      <c r="C129" s="114" t="n">
        <v>878794.04</v>
      </c>
      <c r="D129" s="113" t="inlineStr">
        <is>
          <t>IDR/sheet</t>
        </is>
      </c>
      <c r="E129" s="113" t="inlineStr">
        <is>
          <t>rate card DB (price list 2026)</t>
        </is>
      </c>
      <c r="F129" s="95" t="n"/>
      <c r="G129" s="95" t="n"/>
      <c r="H129" s="95" t="n"/>
      <c r="I129" s="95" t="n"/>
    </row>
    <row r="130">
      <c r="A130" s="113" t="inlineStr">
        <is>
          <t>PLY-24-CSF</t>
        </is>
      </c>
      <c r="B130" s="93" t="n"/>
      <c r="C130" s="114" t="n">
        <v>626897.02</v>
      </c>
      <c r="D130" s="113" t="inlineStr">
        <is>
          <t>IDR/sheet</t>
        </is>
      </c>
      <c r="E130" s="113" t="inlineStr">
        <is>
          <t>rate card DB (price list 2026)</t>
        </is>
      </c>
      <c r="F130" s="95" t="n"/>
      <c r="G130" s="95" t="n"/>
      <c r="H130" s="95" t="n"/>
      <c r="I130" s="95" t="n"/>
    </row>
    <row r="131">
      <c r="A131" s="113" t="inlineStr">
        <is>
          <t>PLY-24-HDF</t>
        </is>
      </c>
      <c r="B131" s="93" t="n"/>
      <c r="C131" s="114" t="n">
        <v>670418.04</v>
      </c>
      <c r="D131" s="113" t="inlineStr">
        <is>
          <t>IDR/sheet</t>
        </is>
      </c>
      <c r="E131" s="113" t="inlineStr">
        <is>
          <t>rate card DB (price list 2026)</t>
        </is>
      </c>
      <c r="F131" s="95" t="n"/>
      <c r="G131" s="95" t="n"/>
      <c r="H131" s="95" t="n"/>
      <c r="I131" s="95" t="n"/>
    </row>
    <row r="132">
      <c r="A132" s="113" t="inlineStr">
        <is>
          <t>PLY-24-HSF</t>
        </is>
      </c>
      <c r="B132" s="93" t="n"/>
      <c r="C132" s="114" t="n">
        <v>522709.02</v>
      </c>
      <c r="D132" s="113" t="inlineStr">
        <is>
          <t>IDR/sheet</t>
        </is>
      </c>
      <c r="E132" s="113" t="inlineStr">
        <is>
          <t>rate card DB (price list 2026)</t>
        </is>
      </c>
      <c r="F132" s="95" t="n"/>
      <c r="G132" s="95" t="n"/>
      <c r="H132" s="95" t="n"/>
      <c r="I132" s="95" t="n"/>
    </row>
    <row r="133">
      <c r="A133" s="113" t="inlineStr">
        <is>
          <t>PLY-24-ODF</t>
        </is>
      </c>
      <c r="B133" s="93" t="n"/>
      <c r="C133" s="114" t="n">
        <v>1176474.04</v>
      </c>
      <c r="D133" s="113" t="inlineStr">
        <is>
          <t>IDR/sheet</t>
        </is>
      </c>
      <c r="E133" s="113" t="inlineStr">
        <is>
          <t>rate card DB (price list 2026)</t>
        </is>
      </c>
      <c r="F133" s="95" t="n"/>
      <c r="G133" s="95" t="n"/>
      <c r="H133" s="95" t="n"/>
      <c r="I133" s="95" t="n"/>
    </row>
    <row r="134">
      <c r="A134" s="113" t="inlineStr">
        <is>
          <t>PLY-24-OSF</t>
        </is>
      </c>
      <c r="B134" s="93" t="n"/>
      <c r="C134" s="114" t="n">
        <v>775737.02</v>
      </c>
      <c r="D134" s="113" t="inlineStr">
        <is>
          <t>IDR/sheet</t>
        </is>
      </c>
      <c r="E134" s="113" t="inlineStr">
        <is>
          <t>rate card DB (price list 2026)</t>
        </is>
      </c>
      <c r="F134" s="95" t="n"/>
      <c r="G134" s="95" t="n"/>
      <c r="H134" s="95" t="n"/>
      <c r="I134" s="95" t="n"/>
    </row>
    <row r="135">
      <c r="A135" s="113" t="inlineStr">
        <is>
          <t>PLY-24-SDF</t>
        </is>
      </c>
      <c r="B135" s="93" t="n"/>
      <c r="C135" s="114" t="n">
        <v>849026.04</v>
      </c>
      <c r="D135" s="113" t="inlineStr">
        <is>
          <t>IDR/sheet</t>
        </is>
      </c>
      <c r="E135" s="113" t="inlineStr">
        <is>
          <t>rate card DB (price list 2026)</t>
        </is>
      </c>
      <c r="F135" s="95" t="n"/>
      <c r="G135" s="95" t="n"/>
      <c r="H135" s="95" t="n"/>
      <c r="I135" s="95" t="n"/>
    </row>
    <row r="136">
      <c r="A136" s="113" t="inlineStr">
        <is>
          <t>PLY-24-SSF</t>
        </is>
      </c>
      <c r="B136" s="93" t="n"/>
      <c r="C136" s="114" t="n">
        <v>612013.02</v>
      </c>
      <c r="D136" s="113" t="inlineStr">
        <is>
          <t>IDR/sheet</t>
        </is>
      </c>
      <c r="E136" s="113" t="inlineStr">
        <is>
          <t>rate card DB (price list 2026)</t>
        </is>
      </c>
      <c r="F136" s="95" t="n"/>
      <c r="G136" s="95" t="n"/>
      <c r="H136" s="95" t="n"/>
      <c r="I136" s="95" t="n"/>
    </row>
    <row r="137">
      <c r="A137" s="113" t="inlineStr">
        <is>
          <t>PLY-24-WDF</t>
        </is>
      </c>
      <c r="B137" s="93" t="n"/>
      <c r="C137" s="114" t="n">
        <v>1265778.04</v>
      </c>
      <c r="D137" s="113" t="inlineStr">
        <is>
          <t>IDR/sheet</t>
        </is>
      </c>
      <c r="E137" s="113" t="inlineStr">
        <is>
          <t>rate card DB (price list 2026)</t>
        </is>
      </c>
      <c r="F137" s="95" t="n"/>
      <c r="G137" s="95" t="n"/>
      <c r="H137" s="95" t="n"/>
      <c r="I137" s="95" t="n"/>
    </row>
    <row r="138">
      <c r="A138" s="113" t="inlineStr">
        <is>
          <t>PLY-24-WSF</t>
        </is>
      </c>
      <c r="B138" s="93" t="n"/>
      <c r="C138" s="114" t="n">
        <v>820389.02</v>
      </c>
      <c r="D138" s="113" t="inlineStr">
        <is>
          <t>IDR/sheet</t>
        </is>
      </c>
      <c r="E138" s="113" t="inlineStr">
        <is>
          <t>rate card DB (price list 2026)</t>
        </is>
      </c>
      <c r="F138" s="95" t="n"/>
      <c r="G138" s="95" t="n"/>
      <c r="H138" s="95" t="n"/>
      <c r="I138" s="95" t="n"/>
    </row>
    <row r="139">
      <c r="A139" s="113" t="inlineStr">
        <is>
          <t>PLY-3-CDF</t>
        </is>
      </c>
      <c r="B139" s="93" t="n"/>
      <c r="C139" s="114" t="n">
        <v>581294.04</v>
      </c>
      <c r="D139" s="113" t="inlineStr">
        <is>
          <t>IDR/sheet</t>
        </is>
      </c>
      <c r="E139" s="113" t="inlineStr">
        <is>
          <t>rate card DB (price list 2026)</t>
        </is>
      </c>
      <c r="F139" s="95" t="n"/>
      <c r="G139" s="95" t="n"/>
      <c r="H139" s="95" t="n"/>
      <c r="I139" s="95" t="n"/>
    </row>
    <row r="140">
      <c r="A140" s="113" t="inlineStr">
        <is>
          <t>PLY-3-CSF</t>
        </is>
      </c>
      <c r="B140" s="93" t="n"/>
      <c r="C140" s="114" t="n">
        <v>329397.02</v>
      </c>
      <c r="D140" s="113" t="inlineStr">
        <is>
          <t>IDR/sheet</t>
        </is>
      </c>
      <c r="E140" s="113" t="inlineStr">
        <is>
          <t>rate card DB (price list 2026)</t>
        </is>
      </c>
      <c r="F140" s="95" t="n"/>
      <c r="G140" s="95" t="n"/>
      <c r="H140" s="95" t="n"/>
      <c r="I140" s="95" t="n"/>
    </row>
    <row r="141">
      <c r="A141" s="113" t="inlineStr">
        <is>
          <t>PLY-3-HDF</t>
        </is>
      </c>
      <c r="B141" s="93" t="n"/>
      <c r="C141" s="114" t="n">
        <v>372918.04</v>
      </c>
      <c r="D141" s="113" t="inlineStr">
        <is>
          <t>IDR/sheet</t>
        </is>
      </c>
      <c r="E141" s="113" t="inlineStr">
        <is>
          <t>rate card DB (price list 2026)</t>
        </is>
      </c>
      <c r="F141" s="95" t="n"/>
      <c r="G141" s="95" t="n"/>
      <c r="H141" s="95" t="n"/>
      <c r="I141" s="95" t="n"/>
    </row>
    <row r="142">
      <c r="A142" s="113" t="inlineStr">
        <is>
          <t>PLY-3-HSF</t>
        </is>
      </c>
      <c r="B142" s="93" t="n"/>
      <c r="C142" s="114" t="n">
        <v>225209.02</v>
      </c>
      <c r="D142" s="113" t="inlineStr">
        <is>
          <t>IDR/sheet</t>
        </is>
      </c>
      <c r="E142" s="113" t="inlineStr">
        <is>
          <t>rate card DB (price list 2026)</t>
        </is>
      </c>
      <c r="F142" s="95" t="n"/>
      <c r="G142" s="95" t="n"/>
      <c r="H142" s="95" t="n"/>
      <c r="I142" s="95" t="n"/>
    </row>
    <row r="143">
      <c r="A143" s="113" t="inlineStr">
        <is>
          <t>PLY-3-ODF</t>
        </is>
      </c>
      <c r="B143" s="93" t="n"/>
      <c r="C143" s="114" t="n">
        <v>878974.04</v>
      </c>
      <c r="D143" s="113" t="inlineStr">
        <is>
          <t>IDR/sheet</t>
        </is>
      </c>
      <c r="E143" s="113" t="inlineStr">
        <is>
          <t>rate card DB (price list 2026)</t>
        </is>
      </c>
      <c r="F143" s="95" t="n"/>
      <c r="G143" s="95" t="n"/>
      <c r="H143" s="95" t="n"/>
      <c r="I143" s="95" t="n"/>
    </row>
    <row r="144">
      <c r="A144" s="113" t="inlineStr">
        <is>
          <t>PLY-3-OSF</t>
        </is>
      </c>
      <c r="B144" s="93" t="n"/>
      <c r="C144" s="114" t="n">
        <v>478237.02</v>
      </c>
      <c r="D144" s="113" t="inlineStr">
        <is>
          <t>IDR/sheet</t>
        </is>
      </c>
      <c r="E144" s="113" t="inlineStr">
        <is>
          <t>rate card DB (price list 2026)</t>
        </is>
      </c>
      <c r="F144" s="95" t="n"/>
      <c r="G144" s="95" t="n"/>
      <c r="H144" s="95" t="n"/>
      <c r="I144" s="95" t="n"/>
    </row>
    <row r="145">
      <c r="A145" s="113" t="inlineStr">
        <is>
          <t>PLY-3-SDF</t>
        </is>
      </c>
      <c r="B145" s="93" t="n"/>
      <c r="C145" s="114" t="n">
        <v>551526.04</v>
      </c>
      <c r="D145" s="113" t="inlineStr">
        <is>
          <t>IDR/sheet</t>
        </is>
      </c>
      <c r="E145" s="113" t="inlineStr">
        <is>
          <t>rate card DB (price list 2026)</t>
        </is>
      </c>
      <c r="F145" s="95" t="n"/>
      <c r="G145" s="95" t="n"/>
      <c r="H145" s="95" t="n"/>
      <c r="I145" s="95" t="n"/>
    </row>
    <row r="146">
      <c r="A146" s="113" t="inlineStr">
        <is>
          <t>PLY-3-SSF</t>
        </is>
      </c>
      <c r="B146" s="93" t="n"/>
      <c r="C146" s="114" t="n">
        <v>314513.02</v>
      </c>
      <c r="D146" s="113" t="inlineStr">
        <is>
          <t>IDR/sheet</t>
        </is>
      </c>
      <c r="E146" s="113" t="inlineStr">
        <is>
          <t>rate card DB (price list 2026)</t>
        </is>
      </c>
      <c r="F146" s="95" t="n"/>
      <c r="G146" s="95" t="n"/>
      <c r="H146" s="95" t="n"/>
      <c r="I146" s="95" t="n"/>
    </row>
    <row r="147">
      <c r="A147" s="113" t="inlineStr">
        <is>
          <t>PLY-3-WDF</t>
        </is>
      </c>
      <c r="B147" s="93" t="n"/>
      <c r="C147" s="114" t="n">
        <v>968278.04</v>
      </c>
      <c r="D147" s="113" t="inlineStr">
        <is>
          <t>IDR/sheet</t>
        </is>
      </c>
      <c r="E147" s="113" t="inlineStr">
        <is>
          <t>rate card DB (price list 2026)</t>
        </is>
      </c>
      <c r="F147" s="95" t="n"/>
      <c r="G147" s="95" t="n"/>
      <c r="H147" s="95" t="n"/>
      <c r="I147" s="95" t="n"/>
    </row>
    <row r="148">
      <c r="A148" s="113" t="inlineStr">
        <is>
          <t>PLY-3-WSF</t>
        </is>
      </c>
      <c r="B148" s="93" t="n"/>
      <c r="C148" s="114" t="n">
        <v>522889.02</v>
      </c>
      <c r="D148" s="113" t="inlineStr">
        <is>
          <t>IDR/sheet</t>
        </is>
      </c>
      <c r="E148" s="113" t="inlineStr">
        <is>
          <t>rate card DB (price list 2026)</t>
        </is>
      </c>
      <c r="F148" s="95" t="n"/>
      <c r="G148" s="95" t="n"/>
      <c r="H148" s="95" t="n"/>
      <c r="I148" s="95" t="n"/>
    </row>
    <row r="149">
      <c r="A149" s="113" t="inlineStr">
        <is>
          <t>PLY-6-CDF</t>
        </is>
      </c>
      <c r="B149" s="93" t="n"/>
      <c r="C149" s="114" t="n">
        <v>618794.04</v>
      </c>
      <c r="D149" s="113" t="inlineStr">
        <is>
          <t>IDR/sheet</t>
        </is>
      </c>
      <c r="E149" s="113" t="inlineStr">
        <is>
          <t>rate card DB (price list 2026)</t>
        </is>
      </c>
      <c r="F149" s="95" t="n"/>
      <c r="G149" s="95" t="n"/>
      <c r="H149" s="95" t="n"/>
      <c r="I149" s="95" t="n"/>
    </row>
    <row r="150">
      <c r="A150" s="113" t="inlineStr">
        <is>
          <t>PLY-6-CSF</t>
        </is>
      </c>
      <c r="B150" s="93" t="n"/>
      <c r="C150" s="114" t="n">
        <v>366897.02</v>
      </c>
      <c r="D150" s="113" t="inlineStr">
        <is>
          <t>IDR/sheet</t>
        </is>
      </c>
      <c r="E150" s="113" t="inlineStr">
        <is>
          <t>rate card DB (price list 2026)</t>
        </is>
      </c>
      <c r="F150" s="95" t="n"/>
      <c r="G150" s="95" t="n"/>
      <c r="H150" s="95" t="n"/>
      <c r="I150" s="95" t="n"/>
    </row>
    <row r="151">
      <c r="A151" s="113" t="inlineStr">
        <is>
          <t>PLY-6-HDF</t>
        </is>
      </c>
      <c r="B151" s="93" t="n"/>
      <c r="C151" s="114" t="n">
        <v>410418.04</v>
      </c>
      <c r="D151" s="113" t="inlineStr">
        <is>
          <t>IDR/sheet</t>
        </is>
      </c>
      <c r="E151" s="113" t="inlineStr">
        <is>
          <t>rate card DB (price list 2026)</t>
        </is>
      </c>
      <c r="F151" s="95" t="n"/>
      <c r="G151" s="95" t="n"/>
      <c r="H151" s="95" t="n"/>
      <c r="I151" s="95" t="n"/>
    </row>
    <row r="152">
      <c r="A152" s="113" t="inlineStr">
        <is>
          <t>PLY-6-HSF</t>
        </is>
      </c>
      <c r="B152" s="93" t="n"/>
      <c r="C152" s="114" t="n">
        <v>262709.02</v>
      </c>
      <c r="D152" s="113" t="inlineStr">
        <is>
          <t>IDR/sheet</t>
        </is>
      </c>
      <c r="E152" s="113" t="inlineStr">
        <is>
          <t>rate card DB (price list 2026)</t>
        </is>
      </c>
      <c r="F152" s="95" t="n"/>
      <c r="G152" s="95" t="n"/>
      <c r="H152" s="95" t="n"/>
      <c r="I152" s="95" t="n"/>
    </row>
    <row r="153">
      <c r="A153" s="113" t="inlineStr">
        <is>
          <t>PLY-6-ODF</t>
        </is>
      </c>
      <c r="B153" s="93" t="n"/>
      <c r="C153" s="114" t="n">
        <v>916474.04</v>
      </c>
      <c r="D153" s="113" t="inlineStr">
        <is>
          <t>IDR/sheet</t>
        </is>
      </c>
      <c r="E153" s="113" t="inlineStr">
        <is>
          <t>rate card DB (price list 2026)</t>
        </is>
      </c>
      <c r="F153" s="95" t="n"/>
      <c r="G153" s="95" t="n"/>
      <c r="H153" s="95" t="n"/>
      <c r="I153" s="95" t="n"/>
    </row>
    <row r="154">
      <c r="A154" s="113" t="inlineStr">
        <is>
          <t>PLY-6-OSF</t>
        </is>
      </c>
      <c r="B154" s="93" t="n"/>
      <c r="C154" s="114" t="n">
        <v>515737.02</v>
      </c>
      <c r="D154" s="113" t="inlineStr">
        <is>
          <t>IDR/sheet</t>
        </is>
      </c>
      <c r="E154" s="113" t="inlineStr">
        <is>
          <t>rate card DB (price list 2026)</t>
        </is>
      </c>
      <c r="F154" s="95" t="n"/>
      <c r="G154" s="95" t="n"/>
      <c r="H154" s="95" t="n"/>
      <c r="I154" s="95" t="n"/>
    </row>
    <row r="155">
      <c r="A155" s="113" t="inlineStr">
        <is>
          <t>PLY-6-SDF</t>
        </is>
      </c>
      <c r="B155" s="93" t="n"/>
      <c r="C155" s="114" t="n">
        <v>589026.04</v>
      </c>
      <c r="D155" s="113" t="inlineStr">
        <is>
          <t>IDR/sheet</t>
        </is>
      </c>
      <c r="E155" s="113" t="inlineStr">
        <is>
          <t>rate card DB (price list 2026)</t>
        </is>
      </c>
      <c r="F155" s="95" t="n"/>
      <c r="G155" s="95" t="n"/>
      <c r="H155" s="95" t="n"/>
      <c r="I155" s="95" t="n"/>
    </row>
    <row r="156">
      <c r="A156" s="113" t="inlineStr">
        <is>
          <t>PLY-6-SSF</t>
        </is>
      </c>
      <c r="B156" s="93" t="n"/>
      <c r="C156" s="114" t="n">
        <v>352013.02</v>
      </c>
      <c r="D156" s="113" t="inlineStr">
        <is>
          <t>IDR/sheet</t>
        </is>
      </c>
      <c r="E156" s="113" t="inlineStr">
        <is>
          <t>rate card DB (price list 2026)</t>
        </is>
      </c>
      <c r="F156" s="95" t="n"/>
      <c r="G156" s="95" t="n"/>
      <c r="H156" s="95" t="n"/>
      <c r="I156" s="95" t="n"/>
    </row>
    <row r="157">
      <c r="A157" s="113" t="inlineStr">
        <is>
          <t>PLY-6-WDF</t>
        </is>
      </c>
      <c r="B157" s="93" t="n"/>
      <c r="C157" s="114" t="n">
        <v>1005778.04</v>
      </c>
      <c r="D157" s="113" t="inlineStr">
        <is>
          <t>IDR/sheet</t>
        </is>
      </c>
      <c r="E157" s="113" t="inlineStr">
        <is>
          <t>rate card DB (price list 2026)</t>
        </is>
      </c>
      <c r="F157" s="95" t="n"/>
      <c r="G157" s="95" t="n"/>
      <c r="H157" s="95" t="n"/>
      <c r="I157" s="95" t="n"/>
    </row>
    <row r="158">
      <c r="A158" s="113" t="inlineStr">
        <is>
          <t>PLY-6-WSF</t>
        </is>
      </c>
      <c r="B158" s="93" t="n"/>
      <c r="C158" s="114" t="n">
        <v>560389.02</v>
      </c>
      <c r="D158" s="113" t="inlineStr">
        <is>
          <t>IDR/sheet</t>
        </is>
      </c>
      <c r="E158" s="113" t="inlineStr">
        <is>
          <t>rate card DB (price list 2026)</t>
        </is>
      </c>
      <c r="F158" s="95" t="n"/>
      <c r="G158" s="95" t="n"/>
      <c r="H158" s="95" t="n"/>
      <c r="I158" s="95" t="n"/>
    </row>
    <row r="159">
      <c r="A159" s="113" t="inlineStr">
        <is>
          <t>PLY-9-CDF</t>
        </is>
      </c>
      <c r="B159" s="93" t="n"/>
      <c r="C159" s="114" t="n">
        <v>676294.04</v>
      </c>
      <c r="D159" s="113" t="inlineStr">
        <is>
          <t>IDR/sheet</t>
        </is>
      </c>
      <c r="E159" s="113" t="inlineStr">
        <is>
          <t>rate card DB (price list 2026)</t>
        </is>
      </c>
      <c r="F159" s="95" t="n"/>
      <c r="G159" s="95" t="n"/>
      <c r="H159" s="95" t="n"/>
      <c r="I159" s="95" t="n"/>
    </row>
    <row r="160">
      <c r="A160" s="113" t="inlineStr">
        <is>
          <t>PLY-9-CSF</t>
        </is>
      </c>
      <c r="B160" s="93" t="n"/>
      <c r="C160" s="114" t="n">
        <v>424397.02</v>
      </c>
      <c r="D160" s="113" t="inlineStr">
        <is>
          <t>IDR/sheet</t>
        </is>
      </c>
      <c r="E160" s="113" t="inlineStr">
        <is>
          <t>rate card DB (price list 2026)</t>
        </is>
      </c>
      <c r="F160" s="95" t="n"/>
      <c r="G160" s="95" t="n"/>
      <c r="H160" s="95" t="n"/>
      <c r="I160" s="95" t="n"/>
    </row>
    <row r="161">
      <c r="A161" s="113" t="inlineStr">
        <is>
          <t>PLY-9-HDF</t>
        </is>
      </c>
      <c r="B161" s="93" t="n"/>
      <c r="C161" s="114" t="n">
        <v>467918.04</v>
      </c>
      <c r="D161" s="113" t="inlineStr">
        <is>
          <t>IDR/sheet</t>
        </is>
      </c>
      <c r="E161" s="113" t="inlineStr">
        <is>
          <t>rate card DB (price list 2026)</t>
        </is>
      </c>
      <c r="F161" s="95" t="n"/>
      <c r="G161" s="95" t="n"/>
      <c r="H161" s="95" t="n"/>
      <c r="I161" s="95" t="n"/>
    </row>
    <row r="162">
      <c r="A162" s="113" t="inlineStr">
        <is>
          <t>PLY-9-HSF</t>
        </is>
      </c>
      <c r="B162" s="93" t="n"/>
      <c r="C162" s="114" t="n">
        <v>320209.02</v>
      </c>
      <c r="D162" s="113" t="inlineStr">
        <is>
          <t>IDR/sheet</t>
        </is>
      </c>
      <c r="E162" s="113" t="inlineStr">
        <is>
          <t>rate card DB (price list 2026)</t>
        </is>
      </c>
      <c r="F162" s="95" t="n"/>
      <c r="G162" s="95" t="n"/>
      <c r="H162" s="95" t="n"/>
      <c r="I162" s="95" t="n"/>
    </row>
    <row r="163">
      <c r="A163" s="113" t="inlineStr">
        <is>
          <t>PLY-9-ODF</t>
        </is>
      </c>
      <c r="B163" s="93" t="n"/>
      <c r="C163" s="114" t="n">
        <v>973974.04</v>
      </c>
      <c r="D163" s="113" t="inlineStr">
        <is>
          <t>IDR/sheet</t>
        </is>
      </c>
      <c r="E163" s="113" t="inlineStr">
        <is>
          <t>rate card DB (price list 2026)</t>
        </is>
      </c>
      <c r="F163" s="95" t="n"/>
      <c r="G163" s="95" t="n"/>
      <c r="H163" s="95" t="n"/>
      <c r="I163" s="95" t="n"/>
    </row>
    <row r="164">
      <c r="A164" s="113" t="inlineStr">
        <is>
          <t>PLY-9-OSF</t>
        </is>
      </c>
      <c r="B164" s="93" t="n"/>
      <c r="C164" s="114" t="n">
        <v>573237.02</v>
      </c>
      <c r="D164" s="113" t="inlineStr">
        <is>
          <t>IDR/sheet</t>
        </is>
      </c>
      <c r="E164" s="113" t="inlineStr">
        <is>
          <t>rate card DB (price list 2026)</t>
        </is>
      </c>
      <c r="F164" s="95" t="n"/>
      <c r="G164" s="95" t="n"/>
      <c r="H164" s="95" t="n"/>
      <c r="I164" s="95" t="n"/>
    </row>
    <row r="165">
      <c r="A165" s="113" t="inlineStr">
        <is>
          <t>PLY-9-SDF</t>
        </is>
      </c>
      <c r="B165" s="93" t="n"/>
      <c r="C165" s="114" t="n">
        <v>646526.04</v>
      </c>
      <c r="D165" s="113" t="inlineStr">
        <is>
          <t>IDR/sheet</t>
        </is>
      </c>
      <c r="E165" s="113" t="inlineStr">
        <is>
          <t>rate card DB (price list 2026)</t>
        </is>
      </c>
      <c r="F165" s="95" t="n"/>
      <c r="G165" s="95" t="n"/>
      <c r="H165" s="95" t="n"/>
      <c r="I165" s="95" t="n"/>
    </row>
    <row r="166">
      <c r="A166" s="113" t="inlineStr">
        <is>
          <t>PLY-9-SSF</t>
        </is>
      </c>
      <c r="B166" s="93" t="n"/>
      <c r="C166" s="114" t="n">
        <v>409513.02</v>
      </c>
      <c r="D166" s="113" t="inlineStr">
        <is>
          <t>IDR/sheet</t>
        </is>
      </c>
      <c r="E166" s="113" t="inlineStr">
        <is>
          <t>rate card DB (price list 2026)</t>
        </is>
      </c>
      <c r="F166" s="95" t="n"/>
      <c r="G166" s="95" t="n"/>
      <c r="H166" s="95" t="n"/>
      <c r="I166" s="95" t="n"/>
    </row>
    <row r="167">
      <c r="A167" s="113" t="inlineStr">
        <is>
          <t>PLY-9-WDF</t>
        </is>
      </c>
      <c r="B167" s="93" t="n"/>
      <c r="C167" s="114" t="n">
        <v>1063278.04</v>
      </c>
      <c r="D167" s="113" t="inlineStr">
        <is>
          <t>IDR/sheet</t>
        </is>
      </c>
      <c r="E167" s="113" t="inlineStr">
        <is>
          <t>rate card DB (price list 2026)</t>
        </is>
      </c>
      <c r="F167" s="95" t="n"/>
      <c r="G167" s="95" t="n"/>
      <c r="H167" s="95" t="n"/>
      <c r="I167" s="95" t="n"/>
    </row>
    <row r="168">
      <c r="A168" s="113" t="inlineStr">
        <is>
          <t>PLY-9-WSF</t>
        </is>
      </c>
      <c r="B168" s="93" t="n"/>
      <c r="C168" s="114" t="n">
        <v>617889.02</v>
      </c>
      <c r="D168" s="113" t="inlineStr">
        <is>
          <t>IDR/sheet</t>
        </is>
      </c>
      <c r="E168" s="113" t="inlineStr">
        <is>
          <t>rate card DB (price list 2026)</t>
        </is>
      </c>
      <c r="F168" s="95" t="n"/>
      <c r="G168" s="95" t="n"/>
      <c r="H168" s="95" t="n"/>
      <c r="I168" s="95" t="n"/>
    </row>
    <row r="170">
      <c r="A170" s="97" t="inlineStr">
        <is>
          <t>LANDED BOARD PRICES: Linyi Consmos Imp.&amp;Exp. Co., Ltd., quotation 14 Oct 2026. CIF Semarang plus port, clearance and trucking to Kudus. Value = CIF USD × FX_USD + LAND_40HC ÷ sheets/box.</t>
        </is>
      </c>
      <c r="B170" s="98" t="n"/>
      <c r="C170" s="98" t="n"/>
      <c r="D170" s="98" t="n"/>
      <c r="E170" s="98" t="n"/>
      <c r="F170" s="98" t="n"/>
      <c r="G170" s="98" t="n"/>
      <c r="H170" s="98" t="n"/>
      <c r="I170" s="98" t="n"/>
    </row>
    <row r="171" ht="32" customHeight="1" s="59">
      <c r="A171" s="99" t="inlineStr">
        <is>
          <t>code</t>
        </is>
      </c>
      <c r="B171" s="99" t="inlineStr">
        <is>
          <t>Description</t>
        </is>
      </c>
      <c r="C171" s="100" t="inlineStr">
        <is>
          <t>Value</t>
        </is>
      </c>
      <c r="D171" s="101" t="inlineStr">
        <is>
          <t>Unit</t>
        </is>
      </c>
      <c r="E171" s="99" t="inlineStr">
        <is>
          <t>Source</t>
        </is>
      </c>
      <c r="F171" s="115" t="inlineStr">
        <is>
          <t>Quote USD / sheet (landed Kudus)</t>
        </is>
      </c>
      <c r="G171" s="116" t="inlineStr">
        <is>
          <t>Quote IDR / sheet (USD × FX_USD)</t>
        </is>
      </c>
      <c r="H171" s="99" t="inlineStr">
        <is>
          <t>CIF USD / sheet</t>
        </is>
      </c>
      <c r="I171" s="99" t="inlineStr">
        <is>
          <t>Sheets / 40' HC</t>
        </is>
      </c>
    </row>
    <row r="172">
      <c r="A172" s="113" t="inlineStr">
        <is>
          <t>FX_USD</t>
        </is>
      </c>
      <c r="B172" s="117" t="inlineStr">
        <is>
          <t>Exchange rate</t>
        </is>
      </c>
      <c r="C172" s="114" t="n">
        <v>18040</v>
      </c>
      <c r="D172" s="113" t="inlineStr">
        <is>
          <t>IDR/USD</t>
        </is>
      </c>
      <c r="E172" s="113" t="inlineStr">
        <is>
          <t>RFQ file, Landing Assumptions. Change to the booked rate.</t>
        </is>
      </c>
      <c r="F172" s="95" t="n"/>
      <c r="G172" s="95" t="n"/>
      <c r="H172" s="95" t="n"/>
      <c r="I172" s="95" t="n"/>
    </row>
    <row r="173">
      <c r="A173" s="113" t="inlineStr">
        <is>
          <t>LAND_40HC</t>
        </is>
      </c>
      <c r="B173" s="117" t="inlineStr">
        <is>
          <t>Landing cost per 40' HC: line local charges, THC, lift-off, PPJK (BC 2.3), documents, trucking Tg. Emas to Kudus, 20% red-lane allowance</t>
        </is>
      </c>
      <c r="C173" s="114" t="n">
        <v>13350000</v>
      </c>
      <c r="D173" s="113" t="inlineStr">
        <is>
          <t>IDR/box</t>
        </is>
      </c>
      <c r="E173" s="113" t="inlineStr">
        <is>
          <t>RFQ file, Landing Assumptions</t>
        </is>
      </c>
      <c r="F173" s="95" t="n"/>
      <c r="G173" s="95" t="n"/>
      <c r="H173" s="95" t="n"/>
      <c r="I173" s="95" t="n"/>
    </row>
    <row r="174">
      <c r="A174" s="113" t="inlineStr">
        <is>
          <t>PANEL_GRADE</t>
        </is>
      </c>
      <c r="B174" s="117" t="inlineStr">
        <is>
          <t>Board grade for ALL plywood and MDF (LOCKED E2, rule 19 Oct 2026). Do not change.</t>
        </is>
      </c>
      <c r="C174" s="118" t="inlineStr">
        <is>
          <t>E2</t>
        </is>
      </c>
      <c r="D174" s="113" t="inlineStr">
        <is>
          <t>text</t>
        </is>
      </c>
      <c r="E174" s="113" t="inlineStr">
        <is>
          <t>Rule: plywood (B group) and MDF (C group) always E2, landed Kudus. E0 / CARB rows are reference only.</t>
        </is>
      </c>
      <c r="F174" s="95" t="n"/>
      <c r="G174" s="95" t="n"/>
      <c r="H174" s="95" t="n"/>
      <c r="I174" s="95" t="n"/>
    </row>
    <row r="175">
      <c r="A175" s="113" t="inlineStr">
        <is>
          <t>VEN_M_ADD</t>
        </is>
      </c>
      <c r="B175" s="117" t="inlineStr">
        <is>
          <t>Mindi veneer added per face inside the PLY-x-MSF / MDF rates</t>
        </is>
      </c>
      <c r="C175" s="114" t="n">
        <v>147709.02</v>
      </c>
      <c r="D175" s="113" t="inlineStr">
        <is>
          <t>IDR/face</t>
        </is>
      </c>
      <c r="E175" s="113" t="inlineStr">
        <is>
          <t>Back-calculated from the 29 Sep rate card (PLY-x-MSF minus PLY-x-RAW). Not the same as VEN_MINDI_FACE.</t>
        </is>
      </c>
      <c r="F175" s="95" t="n"/>
      <c r="G175" s="95" t="n"/>
      <c r="H175" s="95" t="n"/>
      <c r="I175" s="95" t="n"/>
    </row>
    <row r="176">
      <c r="A176" s="113" t="inlineStr">
        <is>
          <t>VEN_T_ADD</t>
        </is>
      </c>
      <c r="B176" s="117" t="inlineStr">
        <is>
          <t>Teak veneer added per face inside the PLY-x-TSF / TDF rates</t>
        </is>
      </c>
      <c r="C176" s="114" t="n">
        <v>341201.02</v>
      </c>
      <c r="D176" s="113" t="inlineStr">
        <is>
          <t>IDR/face</t>
        </is>
      </c>
      <c r="E176" s="113" t="inlineStr">
        <is>
          <t>Back-calculated from the 29 Sep rate card (PLY-x-TSF minus PLY-x-RAW). Not the same as VEN_TEAK_FACE.</t>
        </is>
      </c>
      <c r="F176" s="95" t="n"/>
      <c r="G176" s="95" t="n"/>
      <c r="H176" s="95" t="n"/>
      <c r="I176" s="95" t="n"/>
    </row>
    <row r="178">
      <c r="A178" s="119" t="inlineStr">
        <is>
          <t>LND-PLY-E2-3</t>
        </is>
      </c>
      <c r="B178" s="120" t="inlineStr">
        <is>
          <t>Furniture plywood 3 mm, E2, poplar core, okoume face, landed Kudus</t>
        </is>
      </c>
      <c r="C178" s="121">
        <f>G178</f>
        <v/>
      </c>
      <c r="D178" s="119" t="inlineStr">
        <is>
          <t>IDR/sheet</t>
        </is>
      </c>
      <c r="E178" s="119" t="inlineStr">
        <is>
          <t>RFQ_MDF_Plywood_Landed_Kudus_Tala_Living.xlsx, Landed Rates sheet (Linyi Ocean quote 16 Oct 2026)</t>
        </is>
      </c>
      <c r="F178" s="122">
        <f>H178+$C$173/$C$172/I178</f>
        <v/>
      </c>
      <c r="G178" s="122">
        <f>F178*$C$172</f>
        <v/>
      </c>
      <c r="H178" s="122" t="n">
        <v>5.248</v>
      </c>
      <c r="I178" s="123" t="n">
        <v>5823</v>
      </c>
    </row>
    <row r="179">
      <c r="A179" s="119" t="inlineStr">
        <is>
          <t>LND-PLY-E2-6</t>
        </is>
      </c>
      <c r="B179" s="120" t="inlineStr">
        <is>
          <t>Furniture plywood 6 mm, E2, poplar core, okoume face, landed Kudus</t>
        </is>
      </c>
      <c r="C179" s="121">
        <f>G179</f>
        <v/>
      </c>
      <c r="D179" s="119" t="inlineStr">
        <is>
          <t>IDR/sheet</t>
        </is>
      </c>
      <c r="E179" s="119" t="inlineStr">
        <is>
          <t>RFQ_MDF_Plywood_Landed_Kudus_Tala_Living.xlsx, Landed Rates sheet (Linyi Ocean quote 16 Oct 2026)</t>
        </is>
      </c>
      <c r="F179" s="122">
        <f>H179+$C$173/$C$172/I179</f>
        <v/>
      </c>
      <c r="G179" s="122">
        <f>F179*$C$172</f>
        <v/>
      </c>
      <c r="H179" s="122" t="n">
        <v>7.779</v>
      </c>
      <c r="I179" s="123" t="n">
        <v>2911</v>
      </c>
    </row>
    <row r="180">
      <c r="A180" s="119" t="inlineStr">
        <is>
          <t>LND-PLY-E2-9</t>
        </is>
      </c>
      <c r="B180" s="120" t="inlineStr">
        <is>
          <t>Furniture plywood 9 mm, E2, poplar core, okoume face, landed Kudus</t>
        </is>
      </c>
      <c r="C180" s="121">
        <f>G180</f>
        <v/>
      </c>
      <c r="D180" s="119" t="inlineStr">
        <is>
          <t>IDR/sheet</t>
        </is>
      </c>
      <c r="E180" s="119" t="inlineStr">
        <is>
          <t>RFQ_MDF_Plywood_Landed_Kudus_Tala_Living.xlsx, Landed Rates sheet (Linyi Ocean quote 16 Oct 2026)</t>
        </is>
      </c>
      <c r="F180" s="122">
        <f>H180+$C$173/$C$172/I180</f>
        <v/>
      </c>
      <c r="G180" s="122">
        <f>F180*$C$172</f>
        <v/>
      </c>
      <c r="H180" s="122" t="n">
        <v>11.017</v>
      </c>
      <c r="I180" s="123" t="n">
        <v>1941</v>
      </c>
    </row>
    <row r="181">
      <c r="A181" s="119" t="inlineStr">
        <is>
          <t>LND-PLY-E2-12</t>
        </is>
      </c>
      <c r="B181" s="120" t="inlineStr">
        <is>
          <t>Furniture plywood 12 mm, E2, poplar core, okoume face, landed Kudus</t>
        </is>
      </c>
      <c r="C181" s="121">
        <f>G181</f>
        <v/>
      </c>
      <c r="D181" s="119" t="inlineStr">
        <is>
          <t>IDR/sheet</t>
        </is>
      </c>
      <c r="E181" s="119" t="inlineStr">
        <is>
          <t>RFQ_MDF_Plywood_Landed_Kudus_Tala_Living.xlsx, Landed Rates sheet (Linyi Ocean quote 16 Oct 2026)</t>
        </is>
      </c>
      <c r="F181" s="122">
        <f>H181+$C$173/$C$172/I181</f>
        <v/>
      </c>
      <c r="G181" s="122">
        <f>F181*$C$172</f>
        <v/>
      </c>
      <c r="H181" s="122" t="n">
        <v>14.144</v>
      </c>
      <c r="I181" s="123" t="n">
        <v>1456</v>
      </c>
    </row>
    <row r="182">
      <c r="A182" s="119" t="inlineStr">
        <is>
          <t>LND-PLY-E2-15</t>
        </is>
      </c>
      <c r="B182" s="120" t="inlineStr">
        <is>
          <t>Furniture plywood 15 mm, E2, poplar core, okoume face, landed Kudus</t>
        </is>
      </c>
      <c r="C182" s="121">
        <f>G182</f>
        <v/>
      </c>
      <c r="D182" s="119" t="inlineStr">
        <is>
          <t>IDR/sheet</t>
        </is>
      </c>
      <c r="E182" s="119" t="inlineStr">
        <is>
          <t>RFQ_MDF_Plywood_Landed_Kudus_Tala_Living.xlsx, Landed Rates sheet (Linyi Ocean quote 16 Oct 2026)</t>
        </is>
      </c>
      <c r="F182" s="122">
        <f>H182+$C$173/$C$172/I182</f>
        <v/>
      </c>
      <c r="G182" s="122">
        <f>F182*$C$172</f>
        <v/>
      </c>
      <c r="H182" s="122" t="n">
        <v>17.655</v>
      </c>
      <c r="I182" s="123" t="n">
        <v>1165</v>
      </c>
    </row>
    <row r="183">
      <c r="A183" s="119" t="inlineStr">
        <is>
          <t>LND-PLY-E2-18</t>
        </is>
      </c>
      <c r="B183" s="120" t="inlineStr">
        <is>
          <t>Furniture plywood 18 mm, E2, poplar core, okoume face, landed Kudus</t>
        </is>
      </c>
      <c r="C183" s="121">
        <f>G183</f>
        <v/>
      </c>
      <c r="D183" s="119" t="inlineStr">
        <is>
          <t>IDR/sheet</t>
        </is>
      </c>
      <c r="E183" s="119" t="inlineStr">
        <is>
          <t>RFQ_MDF_Plywood_Landed_Kudus_Tala_Living.xlsx, Landed Rates sheet (Linyi Ocean quote 16 Oct 2026)</t>
        </is>
      </c>
      <c r="F183" s="122">
        <f>H183+$C$173/$C$172/I183</f>
        <v/>
      </c>
      <c r="G183" s="122">
        <f>F183*$C$172</f>
        <v/>
      </c>
      <c r="H183" s="122" t="n">
        <v>20.469</v>
      </c>
      <c r="I183" s="123" t="n">
        <v>970</v>
      </c>
    </row>
    <row r="184">
      <c r="A184" s="113" t="inlineStr">
        <is>
          <t>LND-PLY-E0-3</t>
        </is>
      </c>
      <c r="B184" s="117" t="inlineStr">
        <is>
          <t>Furniture plywood 3 mm, E0, poplar core, okoume face, landed Kudus</t>
        </is>
      </c>
      <c r="C184" s="114">
        <f>G184</f>
        <v/>
      </c>
      <c r="D184" s="113" t="inlineStr">
        <is>
          <t>IDR/sheet</t>
        </is>
      </c>
      <c r="E184" s="113" t="inlineStr">
        <is>
          <t>RFQ_MDF_Plywood_Landed_Kudus_Tala_Living.xlsx, Landed Rates sheet (Linyi Ocean quote 16 Oct 2026)</t>
        </is>
      </c>
      <c r="F184" s="112">
        <f>H184+$C$173/$C$172/I184</f>
        <v/>
      </c>
      <c r="G184" s="112">
        <f>F184*$C$172</f>
        <v/>
      </c>
      <c r="H184" s="112" t="n">
        <v>5.45</v>
      </c>
      <c r="I184" s="124" t="n">
        <v>5760</v>
      </c>
    </row>
    <row r="185">
      <c r="A185" s="113" t="inlineStr">
        <is>
          <t>LND-PLY-E0-6</t>
        </is>
      </c>
      <c r="B185" s="117" t="inlineStr">
        <is>
          <t>Furniture plywood 6 mm, E0, poplar core, okoume face, landed Kudus</t>
        </is>
      </c>
      <c r="C185" s="114">
        <f>G185</f>
        <v/>
      </c>
      <c r="D185" s="113" t="inlineStr">
        <is>
          <t>IDR/sheet</t>
        </is>
      </c>
      <c r="E185" s="113" t="inlineStr">
        <is>
          <t>RFQ_MDF_Plywood_Landed_Kudus_Tala_Living.xlsx, Landed Rates sheet (Linyi Ocean quote 16 Oct 2026)</t>
        </is>
      </c>
      <c r="F185" s="112">
        <f>H185+$C$173/$C$172/I185</f>
        <v/>
      </c>
      <c r="G185" s="112">
        <f>F185*$C$172</f>
        <v/>
      </c>
      <c r="H185" s="112" t="n">
        <v>8.449999999999999</v>
      </c>
      <c r="I185" s="124" t="n">
        <v>2880</v>
      </c>
    </row>
    <row r="186">
      <c r="A186" s="113" t="inlineStr">
        <is>
          <t>LND-PLY-E0-9</t>
        </is>
      </c>
      <c r="B186" s="117" t="inlineStr">
        <is>
          <t>Furniture plywood 9 mm, E0, poplar core, okoume face, landed Kudus</t>
        </is>
      </c>
      <c r="C186" s="114">
        <f>G186</f>
        <v/>
      </c>
      <c r="D186" s="113" t="inlineStr">
        <is>
          <t>IDR/sheet</t>
        </is>
      </c>
      <c r="E186" s="113" t="inlineStr">
        <is>
          <t>RFQ_MDF_Plywood_Landed_Kudus_Tala_Living.xlsx, Landed Rates sheet (Linyi Ocean quote 16 Oct 2026)</t>
        </is>
      </c>
      <c r="F186" s="112">
        <f>H186+$C$173/$C$172/I186</f>
        <v/>
      </c>
      <c r="G186" s="112">
        <f>F186*$C$172</f>
        <v/>
      </c>
      <c r="H186" s="112" t="n">
        <v>12.4</v>
      </c>
      <c r="I186" s="124" t="n">
        <v>1890</v>
      </c>
    </row>
    <row r="187">
      <c r="A187" s="113" t="inlineStr">
        <is>
          <t>LND-PLY-E0-12</t>
        </is>
      </c>
      <c r="B187" s="117" t="inlineStr">
        <is>
          <t>Furniture plywood 12 mm, E0, poplar core, okoume face, landed Kudus</t>
        </is>
      </c>
      <c r="C187" s="114">
        <f>G187</f>
        <v/>
      </c>
      <c r="D187" s="113" t="inlineStr">
        <is>
          <t>IDR/sheet</t>
        </is>
      </c>
      <c r="E187" s="113" t="inlineStr">
        <is>
          <t>RFQ_MDF_Plywood_Landed_Kudus_Tala_Living.xlsx, Landed Rates sheet (Linyi Ocean quote 16 Oct 2026)</t>
        </is>
      </c>
      <c r="F187" s="112">
        <f>H187+$C$173/$C$172/I187</f>
        <v/>
      </c>
      <c r="G187" s="112">
        <f>F187*$C$172</f>
        <v/>
      </c>
      <c r="H187" s="112" t="n">
        <v>15.4</v>
      </c>
      <c r="I187" s="124" t="n">
        <v>1440</v>
      </c>
    </row>
    <row r="188">
      <c r="A188" s="113" t="inlineStr">
        <is>
          <t>LND-PLY-E0-15</t>
        </is>
      </c>
      <c r="B188" s="117" t="inlineStr">
        <is>
          <t>Furniture plywood 15 mm, E0, poplar core, okoume face, landed Kudus</t>
        </is>
      </c>
      <c r="C188" s="114">
        <f>G188</f>
        <v/>
      </c>
      <c r="D188" s="113" t="inlineStr">
        <is>
          <t>IDR/sheet</t>
        </is>
      </c>
      <c r="E188" s="113" t="inlineStr">
        <is>
          <t>RFQ_MDF_Plywood_Landed_Kudus_Tala_Living.xlsx, Landed Rates sheet (Linyi Ocean quote 16 Oct 2026)</t>
        </is>
      </c>
      <c r="F188" s="112">
        <f>H188+$C$173/$C$172/I188</f>
        <v/>
      </c>
      <c r="G188" s="112">
        <f>F188*$C$172</f>
        <v/>
      </c>
      <c r="H188" s="112" t="n">
        <v>18.7</v>
      </c>
      <c r="I188" s="124" t="n">
        <v>1170</v>
      </c>
    </row>
    <row r="189">
      <c r="A189" s="113" t="inlineStr">
        <is>
          <t>LND-PLY-E0-18</t>
        </is>
      </c>
      <c r="B189" s="117" t="inlineStr">
        <is>
          <t>Furniture plywood 18 mm, E0, poplar core, okoume face, landed Kudus</t>
        </is>
      </c>
      <c r="C189" s="114">
        <f>G189</f>
        <v/>
      </c>
      <c r="D189" s="113" t="inlineStr">
        <is>
          <t>IDR/sheet</t>
        </is>
      </c>
      <c r="E189" s="113" t="inlineStr">
        <is>
          <t>RFQ_MDF_Plywood_Landed_Kudus_Tala_Living.xlsx, Landed Rates sheet (Linyi Ocean quote 16 Oct 2026)</t>
        </is>
      </c>
      <c r="F189" s="112">
        <f>H189+$C$173/$C$172/I189</f>
        <v/>
      </c>
      <c r="G189" s="112">
        <f>F189*$C$172</f>
        <v/>
      </c>
      <c r="H189" s="112" t="n">
        <v>21.4</v>
      </c>
      <c r="I189" s="124" t="n">
        <v>990</v>
      </c>
    </row>
    <row r="190">
      <c r="A190" s="113" t="inlineStr">
        <is>
          <t>LND-PLY-CARB-3</t>
        </is>
      </c>
      <c r="B190" s="117" t="inlineStr">
        <is>
          <t>Furniture plywood 3 mm, CARB Phase 2 / TSCA Title VI, poplar core, okoume face, landed Kudus</t>
        </is>
      </c>
      <c r="C190" s="114">
        <f>G190</f>
        <v/>
      </c>
      <c r="D190" s="113" t="inlineStr">
        <is>
          <t>IDR/sheet</t>
        </is>
      </c>
      <c r="E190" s="113" t="inlineStr">
        <is>
          <t>RFQ_MDF_Plywood_Landed_Kudus_Tala_Living.xlsx, Landed Rates sheet (Linyi Ocean quote 16 Oct 2026)</t>
        </is>
      </c>
      <c r="F190" s="112">
        <f>H190+$C$173/$C$172/I190</f>
        <v/>
      </c>
      <c r="G190" s="112">
        <f>F190*$C$172</f>
        <v/>
      </c>
      <c r="H190" s="112" t="n">
        <v>5.5</v>
      </c>
      <c r="I190" s="124" t="n">
        <v>5760</v>
      </c>
    </row>
    <row r="191">
      <c r="A191" s="113" t="inlineStr">
        <is>
          <t>LND-PLY-CARB-6</t>
        </is>
      </c>
      <c r="B191" s="117" t="inlineStr">
        <is>
          <t>Furniture plywood 6 mm, CARB Phase 2 / TSCA Title VI, poplar core, okoume face, landed Kudus</t>
        </is>
      </c>
      <c r="C191" s="114">
        <f>G191</f>
        <v/>
      </c>
      <c r="D191" s="113" t="inlineStr">
        <is>
          <t>IDR/sheet</t>
        </is>
      </c>
      <c r="E191" s="113" t="inlineStr">
        <is>
          <t>RFQ_MDF_Plywood_Landed_Kudus_Tala_Living.xlsx, Landed Rates sheet (Linyi Ocean quote 16 Oct 2026)</t>
        </is>
      </c>
      <c r="F191" s="112">
        <f>H191+$C$173/$C$172/I191</f>
        <v/>
      </c>
      <c r="G191" s="112">
        <f>F191*$C$172</f>
        <v/>
      </c>
      <c r="H191" s="112" t="n">
        <v>8.5</v>
      </c>
      <c r="I191" s="124" t="n">
        <v>2880</v>
      </c>
    </row>
    <row r="192">
      <c r="A192" s="113" t="inlineStr">
        <is>
          <t>LND-PLY-CARB-9</t>
        </is>
      </c>
      <c r="B192" s="117" t="inlineStr">
        <is>
          <t>Furniture plywood 9 mm, CARB Phase 2 / TSCA Title VI, poplar core, okoume face, landed Kudus</t>
        </is>
      </c>
      <c r="C192" s="114">
        <f>G192</f>
        <v/>
      </c>
      <c r="D192" s="113" t="inlineStr">
        <is>
          <t>IDR/sheet</t>
        </is>
      </c>
      <c r="E192" s="113" t="inlineStr">
        <is>
          <t>RFQ_MDF_Plywood_Landed_Kudus_Tala_Living.xlsx, Landed Rates sheet (Linyi Ocean quote 16 Oct 2026)</t>
        </is>
      </c>
      <c r="F192" s="112">
        <f>H192+$C$173/$C$172/I192</f>
        <v/>
      </c>
      <c r="G192" s="112">
        <f>F192*$C$172</f>
        <v/>
      </c>
      <c r="H192" s="112" t="n">
        <v>12.4</v>
      </c>
      <c r="I192" s="124" t="n">
        <v>1890</v>
      </c>
    </row>
    <row r="193">
      <c r="A193" s="113" t="inlineStr">
        <is>
          <t>LND-PLY-CARB-12</t>
        </is>
      </c>
      <c r="B193" s="117" t="inlineStr">
        <is>
          <t>Furniture plywood 12 mm, CARB Phase 2 / TSCA Title VI, poplar core, okoume face, landed Kudus</t>
        </is>
      </c>
      <c r="C193" s="114">
        <f>G193</f>
        <v/>
      </c>
      <c r="D193" s="113" t="inlineStr">
        <is>
          <t>IDR/sheet</t>
        </is>
      </c>
      <c r="E193" s="113" t="inlineStr">
        <is>
          <t>RFQ_MDF_Plywood_Landed_Kudus_Tala_Living.xlsx, Landed Rates sheet (Linyi Ocean quote 16 Oct 2026)</t>
        </is>
      </c>
      <c r="F193" s="112">
        <f>H193+$C$173/$C$172/I193</f>
        <v/>
      </c>
      <c r="G193" s="112">
        <f>F193*$C$172</f>
        <v/>
      </c>
      <c r="H193" s="112" t="n">
        <v>15.5</v>
      </c>
      <c r="I193" s="124" t="n">
        <v>1440</v>
      </c>
    </row>
    <row r="194">
      <c r="A194" s="113" t="inlineStr">
        <is>
          <t>LND-PLY-CARB-15</t>
        </is>
      </c>
      <c r="B194" s="117" t="inlineStr">
        <is>
          <t>Furniture plywood 15 mm, CARB Phase 2 / TSCA Title VI, poplar core, okoume face, landed Kudus</t>
        </is>
      </c>
      <c r="C194" s="114">
        <f>G194</f>
        <v/>
      </c>
      <c r="D194" s="113" t="inlineStr">
        <is>
          <t>IDR/sheet</t>
        </is>
      </c>
      <c r="E194" s="113" t="inlineStr">
        <is>
          <t>RFQ_MDF_Plywood_Landed_Kudus_Tala_Living.xlsx, Landed Rates sheet (Linyi Ocean quote 16 Oct 2026)</t>
        </is>
      </c>
      <c r="F194" s="112">
        <f>H194+$C$173/$C$172/I194</f>
        <v/>
      </c>
      <c r="G194" s="112">
        <f>F194*$C$172</f>
        <v/>
      </c>
      <c r="H194" s="112" t="n">
        <v>18.8</v>
      </c>
      <c r="I194" s="124" t="n">
        <v>1170</v>
      </c>
    </row>
    <row r="195">
      <c r="A195" s="113" t="inlineStr">
        <is>
          <t>LND-PLY-CARB-18</t>
        </is>
      </c>
      <c r="B195" s="117" t="inlineStr">
        <is>
          <t>Furniture plywood 18 mm, CARB Phase 2 / TSCA Title VI, poplar core, okoume face, landed Kudus</t>
        </is>
      </c>
      <c r="C195" s="114">
        <f>G195</f>
        <v/>
      </c>
      <c r="D195" s="113" t="inlineStr">
        <is>
          <t>IDR/sheet</t>
        </is>
      </c>
      <c r="E195" s="113" t="inlineStr">
        <is>
          <t>RFQ_MDF_Plywood_Landed_Kudus_Tala_Living.xlsx, Landed Rates sheet (Linyi Ocean quote 16 Oct 2026)</t>
        </is>
      </c>
      <c r="F195" s="112">
        <f>H195+$C$173/$C$172/I195</f>
        <v/>
      </c>
      <c r="G195" s="112">
        <f>F195*$C$172</f>
        <v/>
      </c>
      <c r="H195" s="112" t="n">
        <v>21.5</v>
      </c>
      <c r="I195" s="124" t="n">
        <v>990</v>
      </c>
    </row>
    <row r="196">
      <c r="A196" s="119" t="inlineStr">
        <is>
          <t>LND-MDF-E2-3</t>
        </is>
      </c>
      <c r="B196" s="120" t="inlineStr">
        <is>
          <t>MDF 3 mm, E2, landed Kudus</t>
        </is>
      </c>
      <c r="C196" s="121">
        <f>G196</f>
        <v/>
      </c>
      <c r="D196" s="119" t="inlineStr">
        <is>
          <t>IDR/sheet</t>
        </is>
      </c>
      <c r="E196" s="119" t="inlineStr">
        <is>
          <t>RFQ_MDF_Plywood_Landed_Kudus_Tala_Living.xlsx, Landed Rates sheet (Linyi Ocean quote 16 Oct 2026)</t>
        </is>
      </c>
      <c r="F196" s="122">
        <f>H196+$C$173/$C$172/I196</f>
        <v/>
      </c>
      <c r="G196" s="122">
        <f>F196*$C$172</f>
        <v/>
      </c>
      <c r="H196" s="122" t="n">
        <v>2.715</v>
      </c>
      <c r="I196" s="123" t="n">
        <v>4143</v>
      </c>
    </row>
    <row r="197">
      <c r="A197" s="119" t="inlineStr">
        <is>
          <t>LND-MDF-E2-6</t>
        </is>
      </c>
      <c r="B197" s="120" t="inlineStr">
        <is>
          <t>MDF 6 mm, E2, landed Kudus</t>
        </is>
      </c>
      <c r="C197" s="121">
        <f>G197</f>
        <v/>
      </c>
      <c r="D197" s="119" t="inlineStr">
        <is>
          <t>IDR/sheet</t>
        </is>
      </c>
      <c r="E197" s="119" t="inlineStr">
        <is>
          <t>RFQ_MDF_Plywood_Landed_Kudus_Tala_Living.xlsx, Landed Rates sheet (Linyi Ocean quote 16 Oct 2026)</t>
        </is>
      </c>
      <c r="F197" s="122">
        <f>H197+$C$173/$C$172/I197</f>
        <v/>
      </c>
      <c r="G197" s="122">
        <f>F197*$C$172</f>
        <v/>
      </c>
      <c r="H197" s="122" t="n">
        <v>4.873</v>
      </c>
      <c r="I197" s="123" t="n">
        <v>2072</v>
      </c>
    </row>
    <row r="198">
      <c r="A198" s="119" t="inlineStr">
        <is>
          <t>LND-MDF-E2-9</t>
        </is>
      </c>
      <c r="B198" s="120" t="inlineStr">
        <is>
          <t>MDF 9 mm, E2, landed Kudus</t>
        </is>
      </c>
      <c r="C198" s="121">
        <f>G198</f>
        <v/>
      </c>
      <c r="D198" s="119" t="inlineStr">
        <is>
          <t>IDR/sheet</t>
        </is>
      </c>
      <c r="E198" s="119" t="inlineStr">
        <is>
          <t>RFQ_MDF_Plywood_Landed_Kudus_Tala_Living.xlsx, Landed Rates sheet (Linyi Ocean quote 16 Oct 2026)</t>
        </is>
      </c>
      <c r="F198" s="122">
        <f>H198+$C$173/$C$172/I198</f>
        <v/>
      </c>
      <c r="G198" s="122">
        <f>F198*$C$172</f>
        <v/>
      </c>
      <c r="H198" s="122" t="n">
        <v>7.553</v>
      </c>
      <c r="I198" s="123" t="n">
        <v>1493</v>
      </c>
    </row>
    <row r="199">
      <c r="A199" s="119" t="inlineStr">
        <is>
          <t>LND-MDF-E2-12</t>
        </is>
      </c>
      <c r="B199" s="120" t="inlineStr">
        <is>
          <t>MDF 12 mm, E2, landed Kudus</t>
        </is>
      </c>
      <c r="C199" s="121">
        <f>G199</f>
        <v/>
      </c>
      <c r="D199" s="119" t="inlineStr">
        <is>
          <t>IDR/sheet</t>
        </is>
      </c>
      <c r="E199" s="119" t="inlineStr">
        <is>
          <t>RFQ_MDF_Plywood_Landed_Kudus_Tala_Living.xlsx, Landed Rates sheet (Linyi Ocean quote 16 Oct 2026)</t>
        </is>
      </c>
      <c r="F199" s="122">
        <f>H199+$C$173/$C$172/I199</f>
        <v/>
      </c>
      <c r="G199" s="122">
        <f>F199*$C$172</f>
        <v/>
      </c>
      <c r="H199" s="122" t="n">
        <v>9.882999999999999</v>
      </c>
      <c r="I199" s="123" t="n">
        <v>1120</v>
      </c>
    </row>
    <row r="200">
      <c r="A200" s="119" t="inlineStr">
        <is>
          <t>LND-MDF-E2-15</t>
        </is>
      </c>
      <c r="B200" s="120" t="inlineStr">
        <is>
          <t>MDF 15 mm, E2, landed Kudus</t>
        </is>
      </c>
      <c r="C200" s="121">
        <f>G200</f>
        <v/>
      </c>
      <c r="D200" s="119" t="inlineStr">
        <is>
          <t>IDR/sheet</t>
        </is>
      </c>
      <c r="E200" s="119" t="inlineStr">
        <is>
          <t>RFQ_MDF_Plywood_Landed_Kudus_Tala_Living.xlsx, Landed Rates sheet (Linyi Ocean quote 16 Oct 2026)</t>
        </is>
      </c>
      <c r="F200" s="122">
        <f>H200+$C$173/$C$172/I200</f>
        <v/>
      </c>
      <c r="G200" s="122">
        <f>F200*$C$172</f>
        <v/>
      </c>
      <c r="H200" s="122" t="n">
        <v>12.435</v>
      </c>
      <c r="I200" s="123" t="n">
        <v>896</v>
      </c>
    </row>
    <row r="201">
      <c r="A201" s="119" t="inlineStr">
        <is>
          <t>LND-MDF-E2-18</t>
        </is>
      </c>
      <c r="B201" s="120" t="inlineStr">
        <is>
          <t>MDF 18 mm, E2, landed Kudus</t>
        </is>
      </c>
      <c r="C201" s="121">
        <f>G201</f>
        <v/>
      </c>
      <c r="D201" s="119" t="inlineStr">
        <is>
          <t>IDR/sheet</t>
        </is>
      </c>
      <c r="E201" s="119" t="inlineStr">
        <is>
          <t>RFQ_MDF_Plywood_Landed_Kudus_Tala_Living.xlsx, Landed Rates sheet (Linyi Ocean quote 16 Oct 2026)</t>
        </is>
      </c>
      <c r="F201" s="122">
        <f>H201+$C$173/$C$172/I201</f>
        <v/>
      </c>
      <c r="G201" s="122">
        <f>F201*$C$172</f>
        <v/>
      </c>
      <c r="H201" s="122" t="n">
        <v>15.039</v>
      </c>
      <c r="I201" s="123" t="n">
        <v>746</v>
      </c>
    </row>
    <row r="202">
      <c r="A202" s="113" t="inlineStr">
        <is>
          <t>LND-MDF-E0-3</t>
        </is>
      </c>
      <c r="B202" s="117" t="inlineStr">
        <is>
          <t>MDF 3 mm, E0, landed Kudus</t>
        </is>
      </c>
      <c r="C202" s="114">
        <f>G202</f>
        <v/>
      </c>
      <c r="D202" s="113" t="inlineStr">
        <is>
          <t>IDR/sheet</t>
        </is>
      </c>
      <c r="E202" s="113" t="inlineStr">
        <is>
          <t>RFQ_MDF_Plywood_Landed_Kudus_Tala_Living.xlsx, Landed Rates sheet (Linyi Ocean quote 16 Oct 2026)</t>
        </is>
      </c>
      <c r="F202" s="112">
        <f>H202+$C$173/$C$172/I202</f>
        <v/>
      </c>
      <c r="G202" s="112">
        <f>F202*$C$172</f>
        <v/>
      </c>
      <c r="H202" s="112" t="n">
        <v>2.8</v>
      </c>
      <c r="I202" s="124" t="n">
        <v>4060</v>
      </c>
    </row>
    <row r="203">
      <c r="A203" s="113" t="inlineStr">
        <is>
          <t>LND-MDF-E0-6</t>
        </is>
      </c>
      <c r="B203" s="117" t="inlineStr">
        <is>
          <t>MDF 6 mm, E0, landed Kudus</t>
        </is>
      </c>
      <c r="C203" s="114">
        <f>G203</f>
        <v/>
      </c>
      <c r="D203" s="113" t="inlineStr">
        <is>
          <t>IDR/sheet</t>
        </is>
      </c>
      <c r="E203" s="113" t="inlineStr">
        <is>
          <t>RFQ_MDF_Plywood_Landed_Kudus_Tala_Living.xlsx, Landed Rates sheet (Linyi Ocean quote 16 Oct 2026)</t>
        </is>
      </c>
      <c r="F203" s="112">
        <f>H203+$C$173/$C$172/I203</f>
        <v/>
      </c>
      <c r="G203" s="112">
        <f>F203*$C$172</f>
        <v/>
      </c>
      <c r="H203" s="112" t="n">
        <v>5.2</v>
      </c>
      <c r="I203" s="124" t="n">
        <v>2250</v>
      </c>
    </row>
    <row r="204">
      <c r="A204" s="113" t="inlineStr">
        <is>
          <t>LND-MDF-E0-9</t>
        </is>
      </c>
      <c r="B204" s="117" t="inlineStr">
        <is>
          <t>MDF 9 mm, E0, landed Kudus</t>
        </is>
      </c>
      <c r="C204" s="114">
        <f>G204</f>
        <v/>
      </c>
      <c r="D204" s="113" t="inlineStr">
        <is>
          <t>IDR/sheet</t>
        </is>
      </c>
      <c r="E204" s="113" t="inlineStr">
        <is>
          <t>RFQ_MDF_Plywood_Landed_Kudus_Tala_Living.xlsx, Landed Rates sheet (Linyi Ocean quote 16 Oct 2026)</t>
        </is>
      </c>
      <c r="F204" s="112">
        <f>H204+$C$173/$C$172/I204</f>
        <v/>
      </c>
      <c r="G204" s="112">
        <f>F204*$C$172</f>
        <v/>
      </c>
      <c r="H204" s="112" t="n">
        <v>8.15</v>
      </c>
      <c r="I204" s="124" t="n">
        <v>1500</v>
      </c>
    </row>
    <row r="205">
      <c r="A205" s="113" t="inlineStr">
        <is>
          <t>LND-MDF-E0-12</t>
        </is>
      </c>
      <c r="B205" s="117" t="inlineStr">
        <is>
          <t>MDF 12 mm, E0, landed Kudus</t>
        </is>
      </c>
      <c r="C205" s="114">
        <f>G205</f>
        <v/>
      </c>
      <c r="D205" s="113" t="inlineStr">
        <is>
          <t>IDR/sheet</t>
        </is>
      </c>
      <c r="E205" s="113" t="inlineStr">
        <is>
          <t>RFQ_MDF_Plywood_Landed_Kudus_Tala_Living.xlsx, Landed Rates sheet (Linyi Ocean quote 16 Oct 2026)</t>
        </is>
      </c>
      <c r="F205" s="112">
        <f>H205+$C$173/$C$172/I205</f>
        <v/>
      </c>
      <c r="G205" s="112">
        <f>F205*$C$172</f>
        <v/>
      </c>
      <c r="H205" s="112" t="n">
        <v>10.7</v>
      </c>
      <c r="I205" s="124" t="n">
        <v>1125</v>
      </c>
    </row>
    <row r="206">
      <c r="A206" s="113" t="inlineStr">
        <is>
          <t>LND-MDF-E0-15</t>
        </is>
      </c>
      <c r="B206" s="117" t="inlineStr">
        <is>
          <t>MDF 15 mm, E0, landed Kudus</t>
        </is>
      </c>
      <c r="C206" s="114">
        <f>G206</f>
        <v/>
      </c>
      <c r="D206" s="113" t="inlineStr">
        <is>
          <t>IDR/sheet</t>
        </is>
      </c>
      <c r="E206" s="113" t="inlineStr">
        <is>
          <t>RFQ_MDF_Plywood_Landed_Kudus_Tala_Living.xlsx, Landed Rates sheet (Linyi Ocean quote 16 Oct 2026)</t>
        </is>
      </c>
      <c r="F206" s="112">
        <f>H206+$C$173/$C$172/I206</f>
        <v/>
      </c>
      <c r="G206" s="112">
        <f>F206*$C$172</f>
        <v/>
      </c>
      <c r="H206" s="112" t="n">
        <v>13.4</v>
      </c>
      <c r="I206" s="124" t="n">
        <v>900</v>
      </c>
    </row>
    <row r="207">
      <c r="A207" s="113" t="inlineStr">
        <is>
          <t>LND-MDF-E0-18</t>
        </is>
      </c>
      <c r="B207" s="117" t="inlineStr">
        <is>
          <t>MDF 18 mm, E0, landed Kudus</t>
        </is>
      </c>
      <c r="C207" s="114">
        <f>G207</f>
        <v/>
      </c>
      <c r="D207" s="113" t="inlineStr">
        <is>
          <t>IDR/sheet</t>
        </is>
      </c>
      <c r="E207" s="113" t="inlineStr">
        <is>
          <t>RFQ_MDF_Plywood_Landed_Kudus_Tala_Living.xlsx, Landed Rates sheet (Linyi Ocean quote 16 Oct 2026)</t>
        </is>
      </c>
      <c r="F207" s="112">
        <f>H207+$C$173/$C$172/I207</f>
        <v/>
      </c>
      <c r="G207" s="112">
        <f>F207*$C$172</f>
        <v/>
      </c>
      <c r="H207" s="112" t="n">
        <v>16</v>
      </c>
      <c r="I207" s="124" t="n">
        <v>750</v>
      </c>
    </row>
    <row r="208">
      <c r="A208" s="113" t="inlineStr">
        <is>
          <t>LND-MDF-CARB-3</t>
        </is>
      </c>
      <c r="B208" s="117" t="inlineStr">
        <is>
          <t>MDF 3 mm, CARB Phase 2 / TSCA Title VI, landed Kudus</t>
        </is>
      </c>
      <c r="C208" s="114">
        <f>G208</f>
        <v/>
      </c>
      <c r="D208" s="113" t="inlineStr">
        <is>
          <t>IDR/sheet</t>
        </is>
      </c>
      <c r="E208" s="113" t="inlineStr">
        <is>
          <t>RFQ_MDF_Plywood_Landed_Kudus_Tala_Living.xlsx, Landed Rates sheet (Linyi Ocean quote 16 Oct 2026)</t>
        </is>
      </c>
      <c r="F208" s="112">
        <f>H208+$C$173/$C$172/I208</f>
        <v/>
      </c>
      <c r="G208" s="112">
        <f>F208*$C$172</f>
        <v/>
      </c>
      <c r="H208" s="112" t="n">
        <v>2.8</v>
      </c>
      <c r="I208" s="124" t="n">
        <v>4060</v>
      </c>
    </row>
    <row r="209">
      <c r="A209" s="113" t="inlineStr">
        <is>
          <t>LND-MDF-CARB-6</t>
        </is>
      </c>
      <c r="B209" s="117" t="inlineStr">
        <is>
          <t>MDF 6 mm, CARB Phase 2 / TSCA Title VI, landed Kudus</t>
        </is>
      </c>
      <c r="C209" s="114">
        <f>G209</f>
        <v/>
      </c>
      <c r="D209" s="113" t="inlineStr">
        <is>
          <t>IDR/sheet</t>
        </is>
      </c>
      <c r="E209" s="113" t="inlineStr">
        <is>
          <t>RFQ_MDF_Plywood_Landed_Kudus_Tala_Living.xlsx, Landed Rates sheet (Linyi Ocean quote 16 Oct 2026)</t>
        </is>
      </c>
      <c r="F209" s="112">
        <f>H209+$C$173/$C$172/I209</f>
        <v/>
      </c>
      <c r="G209" s="112">
        <f>F209*$C$172</f>
        <v/>
      </c>
      <c r="H209" s="112" t="n">
        <v>5.35</v>
      </c>
      <c r="I209" s="124" t="n">
        <v>2030</v>
      </c>
    </row>
    <row r="210">
      <c r="A210" s="113" t="inlineStr">
        <is>
          <t>LND-MDF-CARB-9</t>
        </is>
      </c>
      <c r="B210" s="117" t="inlineStr">
        <is>
          <t>MDF 9 mm, CARB Phase 2 / TSCA Title VI, landed Kudus</t>
        </is>
      </c>
      <c r="C210" s="114">
        <f>G210</f>
        <v/>
      </c>
      <c r="D210" s="113" t="inlineStr">
        <is>
          <t>IDR/sheet</t>
        </is>
      </c>
      <c r="E210" s="113" t="inlineStr">
        <is>
          <t>RFQ_MDF_Plywood_Landed_Kudus_Tala_Living.xlsx, Landed Rates sheet (Linyi Ocean quote 16 Oct 2026)</t>
        </is>
      </c>
      <c r="F210" s="112">
        <f>H210+$C$173/$C$172/I210</f>
        <v/>
      </c>
      <c r="G210" s="112">
        <f>F210*$C$172</f>
        <v/>
      </c>
      <c r="H210" s="112" t="n">
        <v>7.5</v>
      </c>
      <c r="I210" s="124" t="n">
        <v>1425</v>
      </c>
    </row>
    <row r="211">
      <c r="A211" s="113" t="inlineStr">
        <is>
          <t>LND-MDF-CARB-12</t>
        </is>
      </c>
      <c r="B211" s="117" t="inlineStr">
        <is>
          <t>MDF 12 mm, CARB Phase 2 / TSCA Title VI, landed Kudus</t>
        </is>
      </c>
      <c r="C211" s="114">
        <f>G211</f>
        <v/>
      </c>
      <c r="D211" s="113" t="inlineStr">
        <is>
          <t>IDR/sheet</t>
        </is>
      </c>
      <c r="E211" s="113" t="inlineStr">
        <is>
          <t>RFQ_MDF_Plywood_Landed_Kudus_Tala_Living.xlsx, Landed Rates sheet (Linyi Ocean quote 16 Oct 2026)</t>
        </is>
      </c>
      <c r="F211" s="112">
        <f>H211+$C$173/$C$172/I211</f>
        <v/>
      </c>
      <c r="G211" s="112">
        <f>F211*$C$172</f>
        <v/>
      </c>
      <c r="H211" s="112" t="n">
        <v>8.699999999999999</v>
      </c>
      <c r="I211" s="124" t="n">
        <v>1200</v>
      </c>
    </row>
    <row r="212">
      <c r="A212" s="113" t="inlineStr">
        <is>
          <t>LND-MDF-CARB-15</t>
        </is>
      </c>
      <c r="B212" s="117" t="inlineStr">
        <is>
          <t>MDF 15 mm, CARB Phase 2 / TSCA Title VI, landed Kudus</t>
        </is>
      </c>
      <c r="C212" s="114">
        <f>G212</f>
        <v/>
      </c>
      <c r="D212" s="113" t="inlineStr">
        <is>
          <t>IDR/sheet</t>
        </is>
      </c>
      <c r="E212" s="113" t="inlineStr">
        <is>
          <t>RFQ_MDF_Plywood_Landed_Kudus_Tala_Living.xlsx, Landed Rates sheet (Linyi Ocean quote 16 Oct 2026)</t>
        </is>
      </c>
      <c r="F212" s="112">
        <f>H212+$C$173/$C$172/I212</f>
        <v/>
      </c>
      <c r="G212" s="112">
        <f>F212*$C$172</f>
        <v/>
      </c>
      <c r="H212" s="112" t="n">
        <v>11.05</v>
      </c>
      <c r="I212" s="124" t="n">
        <v>960</v>
      </c>
    </row>
    <row r="213">
      <c r="A213" s="113" t="inlineStr">
        <is>
          <t>LND-MDF-CARB-18</t>
        </is>
      </c>
      <c r="B213" s="117" t="inlineStr">
        <is>
          <t>MDF 18 mm, CARB Phase 2 / TSCA Title VI, landed Kudus</t>
        </is>
      </c>
      <c r="C213" s="114">
        <f>G213</f>
        <v/>
      </c>
      <c r="D213" s="113" t="inlineStr">
        <is>
          <t>IDR/sheet</t>
        </is>
      </c>
      <c r="E213" s="113" t="inlineStr">
        <is>
          <t>RFQ_MDF_Plywood_Landed_Kudus_Tala_Living.xlsx, Landed Rates sheet (Linyi Ocean quote 16 Oct 2026)</t>
        </is>
      </c>
      <c r="F213" s="112">
        <f>H213+$C$173/$C$172/I213</f>
        <v/>
      </c>
      <c r="G213" s="112">
        <f>F213*$C$172</f>
        <v/>
      </c>
      <c r="H213" s="112" t="n">
        <v>13.2</v>
      </c>
      <c r="I213" s="124" t="n">
        <v>800</v>
      </c>
    </row>
    <row r="214">
      <c r="A214" s="113" t="inlineStr">
        <is>
          <t>LND-MAR-15</t>
        </is>
      </c>
      <c r="B214" s="117" t="inlineStr">
        <is>
          <t>Marine plywood 15 mm, BS 1088 type, WBP glue, landed Kudus</t>
        </is>
      </c>
      <c r="C214" s="114">
        <f>G214</f>
        <v/>
      </c>
      <c r="D214" s="113" t="inlineStr">
        <is>
          <t>IDR/sheet</t>
        </is>
      </c>
      <c r="E214" s="113" t="inlineStr">
        <is>
          <t>RFQ_MDF_Plywood_Landed_Kudus_Tala_Living.xlsx, Landed Rates sheet (Linyi Ocean quote 16 Oct 2026)</t>
        </is>
      </c>
      <c r="F214" s="112">
        <f>H214+$C$173/$C$172/I214</f>
        <v/>
      </c>
      <c r="G214" s="112">
        <f>F214*$C$172</f>
        <v/>
      </c>
      <c r="H214" s="112" t="n">
        <v>20.324</v>
      </c>
      <c r="I214" s="124" t="n">
        <v>1120</v>
      </c>
    </row>
    <row r="215">
      <c r="A215" s="113" t="inlineStr">
        <is>
          <t>LND-MAR-18</t>
        </is>
      </c>
      <c r="B215" s="117" t="inlineStr">
        <is>
          <t>Marine plywood 18 mm, BS 1088 type, WBP glue, landed Kudus</t>
        </is>
      </c>
      <c r="C215" s="114">
        <f>G215</f>
        <v/>
      </c>
      <c r="D215" s="113" t="inlineStr">
        <is>
          <t>IDR/sheet</t>
        </is>
      </c>
      <c r="E215" s="113" t="inlineStr">
        <is>
          <t>RFQ_MDF_Plywood_Landed_Kudus_Tala_Living.xlsx, Landed Rates sheet (Linyi Ocean quote 16 Oct 2026)</t>
        </is>
      </c>
      <c r="F215" s="112">
        <f>H215+$C$173/$C$172/I215</f>
        <v/>
      </c>
      <c r="G215" s="112">
        <f>F215*$C$172</f>
        <v/>
      </c>
      <c r="H215" s="112" t="n">
        <v>24.043</v>
      </c>
      <c r="I215" s="124" t="n">
        <v>933</v>
      </c>
    </row>
    <row r="217">
      <c r="A217" s="97" t="inlineStr">
        <is>
          <t>BOARD RATES ADDED 16 OCT 2026 (use as PANEL TYPE on item tabs)</t>
        </is>
      </c>
      <c r="B217" s="98" t="n"/>
      <c r="C217" s="98" t="n"/>
      <c r="D217" s="98" t="n"/>
      <c r="E217" s="98" t="n"/>
      <c r="F217" s="98" t="n"/>
      <c r="G217" s="98" t="n"/>
      <c r="H217" s="98" t="n"/>
      <c r="I217" s="98" t="n"/>
    </row>
    <row r="218">
      <c r="A218" s="113" t="inlineStr">
        <is>
          <t>MDF-3-RAW</t>
        </is>
      </c>
      <c r="B218" s="117" t="inlineStr">
        <is>
          <t>MDF 3 mm, raw, grade per PANEL_GRADE</t>
        </is>
      </c>
      <c r="C218" s="114">
        <f t="array" ref="C218">INDEX($C$178:$C$215,MATCH("LND-MDF-"&amp;$C$174&amp;"-3",$A$178:$A$215,0))</f>
        <v/>
      </c>
      <c r="D218" s="113" t="inlineStr">
        <is>
          <t>IDR/sheet</t>
        </is>
      </c>
      <c r="E218" s="113" t="inlineStr">
        <is>
          <t>Landed rows above</t>
        </is>
      </c>
      <c r="F218" s="112">
        <f t="array" ref="F218">INDEX($F$178:$F$215,MATCH("LND-MDF-"&amp;$C$174&amp;"-3",$A$178:$A$215,0))</f>
        <v/>
      </c>
      <c r="G218" s="112">
        <f>F218*$C$172</f>
        <v/>
      </c>
      <c r="H218" s="95" t="n"/>
      <c r="I218" s="95" t="n"/>
    </row>
    <row r="219">
      <c r="A219" s="113" t="inlineStr">
        <is>
          <t>MDF-6-RAW</t>
        </is>
      </c>
      <c r="B219" s="117" t="inlineStr">
        <is>
          <t>MDF 6 mm, raw, grade per PANEL_GRADE</t>
        </is>
      </c>
      <c r="C219" s="114">
        <f t="array" ref="C219">INDEX($C$178:$C$215,MATCH("LND-MDF-"&amp;$C$174&amp;"-6",$A$178:$A$215,0))</f>
        <v/>
      </c>
      <c r="D219" s="113" t="inlineStr">
        <is>
          <t>IDR/sheet</t>
        </is>
      </c>
      <c r="E219" s="113" t="inlineStr">
        <is>
          <t>Landed rows above</t>
        </is>
      </c>
      <c r="F219" s="112">
        <f t="array" ref="F219">INDEX($F$178:$F$215,MATCH("LND-MDF-"&amp;$C$174&amp;"-6",$A$178:$A$215,0))</f>
        <v/>
      </c>
      <c r="G219" s="112">
        <f>F219*$C$172</f>
        <v/>
      </c>
      <c r="H219" s="95" t="n"/>
      <c r="I219" s="95" t="n"/>
    </row>
    <row r="220">
      <c r="A220" s="113" t="inlineStr">
        <is>
          <t>MDF-9-RAW</t>
        </is>
      </c>
      <c r="B220" s="117" t="inlineStr">
        <is>
          <t>MDF 9 mm, raw, grade per PANEL_GRADE</t>
        </is>
      </c>
      <c r="C220" s="114">
        <f t="array" ref="C220">INDEX($C$178:$C$215,MATCH("LND-MDF-"&amp;$C$174&amp;"-9",$A$178:$A$215,0))</f>
        <v/>
      </c>
      <c r="D220" s="113" t="inlineStr">
        <is>
          <t>IDR/sheet</t>
        </is>
      </c>
      <c r="E220" s="113" t="inlineStr">
        <is>
          <t>Landed rows above</t>
        </is>
      </c>
      <c r="F220" s="112">
        <f t="array" ref="F220">INDEX($F$178:$F$215,MATCH("LND-MDF-"&amp;$C$174&amp;"-9",$A$178:$A$215,0))</f>
        <v/>
      </c>
      <c r="G220" s="112">
        <f>F220*$C$172</f>
        <v/>
      </c>
      <c r="H220" s="95" t="n"/>
      <c r="I220" s="95" t="n"/>
    </row>
    <row r="221">
      <c r="A221" s="113" t="inlineStr">
        <is>
          <t>MDF-12-RAW</t>
        </is>
      </c>
      <c r="B221" s="117" t="inlineStr">
        <is>
          <t>MDF 12 mm, raw, grade per PANEL_GRADE</t>
        </is>
      </c>
      <c r="C221" s="114">
        <f t="array" ref="C221">INDEX($C$178:$C$215,MATCH("LND-MDF-"&amp;$C$174&amp;"-12",$A$178:$A$215,0))</f>
        <v/>
      </c>
      <c r="D221" s="113" t="inlineStr">
        <is>
          <t>IDR/sheet</t>
        </is>
      </c>
      <c r="E221" s="113" t="inlineStr">
        <is>
          <t>Landed rows above</t>
        </is>
      </c>
      <c r="F221" s="112">
        <f t="array" ref="F221">INDEX($F$178:$F$215,MATCH("LND-MDF-"&amp;$C$174&amp;"-12",$A$178:$A$215,0))</f>
        <v/>
      </c>
      <c r="G221" s="112">
        <f>F221*$C$172</f>
        <v/>
      </c>
      <c r="H221" s="95" t="n"/>
      <c r="I221" s="95" t="n"/>
    </row>
    <row r="222">
      <c r="A222" s="113" t="inlineStr">
        <is>
          <t>MDF-15-RAW</t>
        </is>
      </c>
      <c r="B222" s="117" t="inlineStr">
        <is>
          <t>MDF 15 mm, raw, grade per PANEL_GRADE</t>
        </is>
      </c>
      <c r="C222" s="114">
        <f t="array" ref="C222">INDEX($C$178:$C$215,MATCH("LND-MDF-"&amp;$C$174&amp;"-15",$A$178:$A$215,0))</f>
        <v/>
      </c>
      <c r="D222" s="113" t="inlineStr">
        <is>
          <t>IDR/sheet</t>
        </is>
      </c>
      <c r="E222" s="113" t="inlineStr">
        <is>
          <t>Landed rows above</t>
        </is>
      </c>
      <c r="F222" s="112">
        <f t="array" ref="F222">INDEX($F$178:$F$215,MATCH("LND-MDF-"&amp;$C$174&amp;"-15",$A$178:$A$215,0))</f>
        <v/>
      </c>
      <c r="G222" s="112">
        <f>F222*$C$172</f>
        <v/>
      </c>
      <c r="H222" s="95" t="n"/>
      <c r="I222" s="95" t="n"/>
    </row>
    <row r="223">
      <c r="A223" s="113" t="inlineStr">
        <is>
          <t>MDF-18-RAW</t>
        </is>
      </c>
      <c r="B223" s="117" t="inlineStr">
        <is>
          <t>MDF 18 mm, raw, grade per PANEL_GRADE</t>
        </is>
      </c>
      <c r="C223" s="114">
        <f t="array" ref="C223">INDEX($C$178:$C$215,MATCH("LND-MDF-"&amp;$C$174&amp;"-18",$A$178:$A$215,0))</f>
        <v/>
      </c>
      <c r="D223" s="113" t="inlineStr">
        <is>
          <t>IDR/sheet</t>
        </is>
      </c>
      <c r="E223" s="113" t="inlineStr">
        <is>
          <t>Landed rows above</t>
        </is>
      </c>
      <c r="F223" s="112">
        <f t="array" ref="F223">INDEX($F$178:$F$215,MATCH("LND-MDF-"&amp;$C$174&amp;"-18",$A$178:$A$215,0))</f>
        <v/>
      </c>
      <c r="G223" s="112">
        <f>F223*$C$172</f>
        <v/>
      </c>
      <c r="H223" s="95" t="n"/>
      <c r="I223" s="95" t="n"/>
    </row>
    <row r="224">
      <c r="A224" s="113" t="inlineStr">
        <is>
          <t>PLY-15-MAR</t>
        </is>
      </c>
      <c r="B224" s="117" t="inlineStr">
        <is>
          <t>Marine plywood 15 mm, raw</t>
        </is>
      </c>
      <c r="C224" s="114">
        <f t="array" ref="C224">INDEX($C$178:$C$215,MATCH("LND-MAR-15",$A$178:$A$215,0))</f>
        <v/>
      </c>
      <c r="D224" s="113" t="inlineStr">
        <is>
          <t>IDR/sheet</t>
        </is>
      </c>
      <c r="E224" s="113" t="inlineStr">
        <is>
          <t>Landed rows above</t>
        </is>
      </c>
      <c r="F224" s="112">
        <f t="array" ref="F224">INDEX($F$178:$F$215,MATCH("LND-MAR-15",$A$178:$A$215,0))</f>
        <v/>
      </c>
      <c r="G224" s="112">
        <f>F224*$C$172</f>
        <v/>
      </c>
      <c r="H224" s="95" t="n"/>
      <c r="I224" s="95" t="n"/>
    </row>
    <row r="225">
      <c r="A225" s="113" t="inlineStr">
        <is>
          <t>PLY-18-MAR</t>
        </is>
      </c>
      <c r="B225" s="117" t="inlineStr">
        <is>
          <t>Marine plywood 18 mm, raw</t>
        </is>
      </c>
      <c r="C225" s="114">
        <f t="array" ref="C225">INDEX($C$178:$C$215,MATCH("LND-MAR-18",$A$178:$A$215,0))</f>
        <v/>
      </c>
      <c r="D225" s="113" t="inlineStr">
        <is>
          <t>IDR/sheet</t>
        </is>
      </c>
      <c r="E225" s="113" t="inlineStr">
        <is>
          <t>Landed rows above</t>
        </is>
      </c>
      <c r="F225" s="112">
        <f t="array" ref="F225">INDEX($F$178:$F$215,MATCH("LND-MAR-18",$A$178:$A$215,0))</f>
        <v/>
      </c>
      <c r="G225" s="112">
        <f>F225*$C$172</f>
        <v/>
      </c>
      <c r="H225" s="95" t="n"/>
      <c r="I225" s="95" t="n"/>
    </row>
    <row r="227">
      <c r="A227" s="97" t="inlineStr">
        <is>
          <t>HARDWARE (bought-in). Value = USD price × FX_USD.</t>
        </is>
      </c>
      <c r="B227" s="98" t="n"/>
      <c r="C227" s="98" t="n"/>
      <c r="D227" s="98" t="n"/>
      <c r="E227" s="98" t="n"/>
      <c r="F227" s="125" t="inlineStr">
        <is>
          <t>Quote USD</t>
        </is>
      </c>
      <c r="G227" s="126" t="inlineStr">
        <is>
          <t>Quote IDR (USD × FX_USD)</t>
        </is>
      </c>
      <c r="H227" s="98" t="n"/>
      <c r="I227" s="98" t="n"/>
    </row>
    <row r="228">
      <c r="A228" s="113" t="inlineStr">
        <is>
          <t>HW-RAIL-DTC</t>
        </is>
      </c>
      <c r="B228" s="117" t="inlineStr">
        <is>
          <t>Drawer rail DTC, side-mount, soft-close, ball-bearing</t>
        </is>
      </c>
      <c r="C228" s="114">
        <f>G228</f>
        <v/>
      </c>
      <c r="D228" s="113" t="inlineStr">
        <is>
          <t>IDR/pair</t>
        </is>
      </c>
      <c r="E228" s="113" t="inlineStr">
        <is>
          <t>Approved by David 7 Oct 2026 (project doc HARDWARE PRICE 16 OCT). Same price for all lengths.</t>
        </is>
      </c>
      <c r="F228" s="112" t="n">
        <v>2.75</v>
      </c>
      <c r="G228" s="112">
        <f>F228*$C$172</f>
        <v/>
      </c>
      <c r="H228" s="95" t="n"/>
      <c r="I228" s="95" t="n"/>
    </row>
    <row r="229">
      <c r="A229" s="113" t="inlineStr">
        <is>
          <t>HW-HINGE-DTC</t>
        </is>
      </c>
      <c r="B229" s="117" t="inlineStr">
        <is>
          <t>Soft-close hinge DTC</t>
        </is>
      </c>
      <c r="C229" s="114">
        <f>G229</f>
        <v/>
      </c>
      <c r="D229" s="113" t="inlineStr">
        <is>
          <t>IDR/pc</t>
        </is>
      </c>
      <c r="E229" s="113" t="inlineStr">
        <is>
          <t>Approved by David 7 Oct 2026 (project doc HARDWARE PRICE 16 OCT)</t>
        </is>
      </c>
      <c r="F229" s="112" t="n">
        <v>0.6</v>
      </c>
      <c r="G229" s="112">
        <f>F229*$C$172</f>
        <v/>
      </c>
      <c r="H229" s="95" t="n"/>
      <c r="I229" s="95" t="n"/>
    </row>
    <row r="231">
      <c r="A231" s="127" t="inlineStr">
        <is>
          <t>VENEERED LANDED BOARDS (E2 + Mindi Veneer)</t>
        </is>
      </c>
      <c r="B231" s="98" t="n"/>
      <c r="C231" s="98" t="n"/>
      <c r="D231" s="98" t="n"/>
      <c r="E231" s="98" t="n"/>
      <c r="F231" s="98" t="n"/>
      <c r="G231" s="98" t="n"/>
      <c r="H231" s="98" t="n"/>
      <c r="I231" s="98" t="n"/>
    </row>
    <row r="232">
      <c r="A232" s="95" t="inlineStr">
        <is>
          <t>LND-PLY-E2-18-MSF</t>
        </is>
      </c>
      <c r="B232" s="93" t="inlineStr">
        <is>
          <t>Plywood E2 18 mm, Mindi single face</t>
        </is>
      </c>
      <c r="C232" s="128">
        <f>INDEX($C$178:$C$215,MATCH("LND-PLY-E2-18",$A$178:$A$215,0))+$C$175</f>
        <v/>
      </c>
      <c r="D232" s="95" t="inlineStr">
        <is>
          <t>IDR/sheet</t>
        </is>
      </c>
      <c r="E232" s="95" t="n"/>
      <c r="F232" s="95" t="n"/>
      <c r="G232" s="95" t="n"/>
      <c r="H232" s="95" t="n"/>
      <c r="I232" s="95" t="n"/>
    </row>
    <row r="233">
      <c r="A233" s="95" t="inlineStr">
        <is>
          <t>LND-PLY-E2-18-MDF</t>
        </is>
      </c>
      <c r="B233" s="93" t="inlineStr">
        <is>
          <t>Plywood E2 18 mm, Mindi double face</t>
        </is>
      </c>
      <c r="C233" s="128">
        <f>INDEX($C$178:$C$215,MATCH("LND-PLY-E2-18",$A$178:$A$215,0))+2*$C$175</f>
        <v/>
      </c>
      <c r="D233" s="95" t="inlineStr">
        <is>
          <t>IDR/sheet</t>
        </is>
      </c>
      <c r="E233" s="95" t="n"/>
      <c r="F233" s="95" t="n"/>
      <c r="G233" s="95" t="n"/>
      <c r="H233" s="95" t="n"/>
      <c r="I233" s="95" t="n"/>
    </row>
    <row r="234">
      <c r="A234" s="95" t="inlineStr">
        <is>
          <t>LND-PLY-E2-15-MSF</t>
        </is>
      </c>
      <c r="B234" s="93" t="inlineStr">
        <is>
          <t>Plywood E2 15 mm, Mindi single face</t>
        </is>
      </c>
      <c r="C234" s="128">
        <f>INDEX($C$178:$C$215,MATCH("LND-PLY-E2-15",$A$178:$A$215,0))+$C$175</f>
        <v/>
      </c>
      <c r="D234" s="95" t="inlineStr">
        <is>
          <t>IDR/sheet</t>
        </is>
      </c>
      <c r="E234" s="95" t="n"/>
      <c r="F234" s="95" t="n"/>
      <c r="G234" s="95" t="n"/>
      <c r="H234" s="95" t="n"/>
      <c r="I234" s="95" t="n"/>
    </row>
    <row r="235">
      <c r="A235" s="95" t="inlineStr">
        <is>
          <t>LND-PLY-E2-15-MDF</t>
        </is>
      </c>
      <c r="B235" s="93" t="inlineStr">
        <is>
          <t>Plywood E2 15 mm, Mindi double face</t>
        </is>
      </c>
      <c r="C235" s="128">
        <f>INDEX($C$178:$C$215,MATCH("LND-PLY-E2-15",$A$178:$A$215,0))+2*$C$175</f>
        <v/>
      </c>
      <c r="D235" s="95" t="inlineStr">
        <is>
          <t>IDR/sheet</t>
        </is>
      </c>
      <c r="E235" s="95" t="n"/>
      <c r="F235" s="95" t="n"/>
      <c r="G235" s="95" t="n"/>
      <c r="H235" s="95" t="n"/>
      <c r="I235" s="95" t="n"/>
    </row>
    <row r="236">
      <c r="A236" s="95" t="inlineStr">
        <is>
          <t>LND-PLY-E2-12-MSF</t>
        </is>
      </c>
      <c r="B236" s="93" t="inlineStr">
        <is>
          <t>Plywood E2 12 mm, Mindi single face</t>
        </is>
      </c>
      <c r="C236" s="128">
        <f>INDEX($C$178:$C$215,MATCH("LND-PLY-E2-12",$A$178:$A$215,0))+$C$175</f>
        <v/>
      </c>
      <c r="D236" s="95" t="inlineStr">
        <is>
          <t>IDR/sheet</t>
        </is>
      </c>
      <c r="E236" s="95" t="n"/>
      <c r="F236" s="95" t="n"/>
      <c r="G236" s="95" t="n"/>
      <c r="H236" s="95" t="n"/>
      <c r="I236" s="95" t="n"/>
    </row>
    <row r="237">
      <c r="A237" s="95" t="inlineStr">
        <is>
          <t>LND-PLY-E2-12-MDF</t>
        </is>
      </c>
      <c r="B237" s="93" t="inlineStr">
        <is>
          <t>Plywood E2 12 mm, Mindi double face</t>
        </is>
      </c>
      <c r="C237" s="128">
        <f>INDEX($C$178:$C$215,MATCH("LND-PLY-E2-12",$A$178:$A$215,0))+2*$C$175</f>
        <v/>
      </c>
      <c r="D237" s="95" t="inlineStr">
        <is>
          <t>IDR/sheet</t>
        </is>
      </c>
      <c r="E237" s="95" t="n"/>
      <c r="F237" s="95" t="n"/>
      <c r="G237" s="95" t="n"/>
      <c r="H237" s="95" t="n"/>
      <c r="I237" s="95" t="n"/>
    </row>
    <row r="238">
      <c r="A238" s="95" t="inlineStr">
        <is>
          <t>LND-PLY-E2-9-MSF</t>
        </is>
      </c>
      <c r="B238" s="93" t="inlineStr">
        <is>
          <t>Plywood E2 9 mm, Mindi single face</t>
        </is>
      </c>
      <c r="C238" s="128">
        <f>INDEX($C$178:$C$215,MATCH("LND-PLY-E2-9",$A$178:$A$215,0))+$C$175</f>
        <v/>
      </c>
      <c r="D238" s="95" t="inlineStr">
        <is>
          <t>IDR/sheet</t>
        </is>
      </c>
      <c r="E238" s="95" t="n"/>
      <c r="F238" s="95" t="n"/>
      <c r="G238" s="95" t="n"/>
      <c r="H238" s="95" t="n"/>
      <c r="I238" s="95" t="n"/>
    </row>
    <row r="239">
      <c r="A239" s="95" t="inlineStr">
        <is>
          <t>LND-PLY-E2-9-MDF</t>
        </is>
      </c>
      <c r="B239" s="93" t="inlineStr">
        <is>
          <t>Plywood E2 9 mm, Mindi double face</t>
        </is>
      </c>
      <c r="C239" s="128">
        <f>INDEX($C$178:$C$215,MATCH("LND-PLY-E2-9",$A$178:$A$215,0))+2*$C$175</f>
        <v/>
      </c>
      <c r="D239" s="95" t="inlineStr">
        <is>
          <t>IDR/sheet</t>
        </is>
      </c>
      <c r="E239" s="95" t="n"/>
      <c r="F239" s="95" t="n"/>
      <c r="G239" s="95" t="n"/>
      <c r="H239" s="95" t="n"/>
      <c r="I239" s="95" t="n"/>
    </row>
    <row r="240">
      <c r="A240" s="95" t="inlineStr">
        <is>
          <t>LND-PLY-E2-6-MSF</t>
        </is>
      </c>
      <c r="B240" s="93" t="inlineStr">
        <is>
          <t>Plywood E2 6 mm, Mindi single face</t>
        </is>
      </c>
      <c r="C240" s="128">
        <f>INDEX($C$178:$C$215,MATCH("LND-PLY-E2-6",$A$178:$A$215,0))+$C$175</f>
        <v/>
      </c>
      <c r="D240" s="95" t="inlineStr">
        <is>
          <t>IDR/sheet</t>
        </is>
      </c>
      <c r="E240" s="95" t="n"/>
      <c r="F240" s="95" t="n"/>
      <c r="G240" s="95" t="n"/>
      <c r="H240" s="95" t="n"/>
      <c r="I240" s="95" t="n"/>
    </row>
    <row r="241">
      <c r="A241" s="95" t="inlineStr">
        <is>
          <t>LND-PLY-E2-6-MDF</t>
        </is>
      </c>
      <c r="B241" s="93" t="inlineStr">
        <is>
          <t>Plywood E2 6 mm, Mindi double face</t>
        </is>
      </c>
      <c r="C241" s="128">
        <f>INDEX($C$178:$C$215,MATCH("LND-PLY-E2-6",$A$178:$A$215,0))+2*$C$175</f>
        <v/>
      </c>
      <c r="D241" s="95" t="inlineStr">
        <is>
          <t>IDR/sheet</t>
        </is>
      </c>
      <c r="E241" s="95" t="n"/>
      <c r="F241" s="95" t="n"/>
      <c r="G241" s="95" t="n"/>
      <c r="H241" s="95" t="n"/>
      <c r="I241" s="95" t="n"/>
    </row>
    <row r="242">
      <c r="A242" s="95" t="inlineStr">
        <is>
          <t>LND-PLY-E2-3-MSF</t>
        </is>
      </c>
      <c r="B242" s="93" t="inlineStr">
        <is>
          <t>Plywood E2 3 mm, Mindi single face</t>
        </is>
      </c>
      <c r="C242" s="128">
        <f>INDEX($C$178:$C$215,MATCH("LND-PLY-E2-3",$A$178:$A$215,0))+$C$175</f>
        <v/>
      </c>
      <c r="D242" s="95" t="inlineStr">
        <is>
          <t>IDR/sheet</t>
        </is>
      </c>
      <c r="E242" s="95" t="n"/>
      <c r="F242" s="95" t="n"/>
      <c r="G242" s="95" t="n"/>
      <c r="H242" s="95" t="n"/>
      <c r="I242" s="95" t="n"/>
    </row>
    <row r="243">
      <c r="A243" s="95" t="inlineStr">
        <is>
          <t>LND-PLY-E2-3-MDF</t>
        </is>
      </c>
      <c r="B243" s="93" t="inlineStr">
        <is>
          <t>Plywood E2 3 mm, Mindi double face</t>
        </is>
      </c>
      <c r="C243" s="128">
        <f>INDEX($C$178:$C$215,MATCH("LND-PLY-E2-3",$A$178:$A$215,0))+2*$C$175</f>
        <v/>
      </c>
      <c r="D243" s="95" t="inlineStr">
        <is>
          <t>IDR/sheet</t>
        </is>
      </c>
      <c r="E243" s="95" t="n"/>
      <c r="F243" s="95" t="n"/>
      <c r="G243" s="95" t="n"/>
      <c r="H243" s="95" t="n"/>
      <c r="I243" s="95" t="n"/>
    </row>
    <row r="244">
      <c r="A244" s="95" t="inlineStr">
        <is>
          <t>LND-MDF-E2-18-MSF</t>
        </is>
      </c>
      <c r="B244" s="93" t="inlineStr">
        <is>
          <t>MDF E2 18 mm, Mindi single face</t>
        </is>
      </c>
      <c r="C244" s="128">
        <f>INDEX($C$178:$C$215,MATCH("LND-MDF-E2-18",$A$178:$A$215,0))+$C$175</f>
        <v/>
      </c>
      <c r="D244" s="95" t="inlineStr">
        <is>
          <t>IDR/sheet</t>
        </is>
      </c>
      <c r="E244" s="95" t="n"/>
      <c r="F244" s="95" t="n"/>
      <c r="G244" s="95" t="n"/>
      <c r="H244" s="95" t="n"/>
      <c r="I244" s="95" t="n"/>
    </row>
    <row r="245">
      <c r="A245" s="95" t="inlineStr">
        <is>
          <t>LND-MDF-E2-18-MDF</t>
        </is>
      </c>
      <c r="B245" s="93" t="inlineStr">
        <is>
          <t>MDF E2 18 mm, Mindi double face</t>
        </is>
      </c>
      <c r="C245" s="128">
        <f>INDEX($C$178:$C$215,MATCH("LND-MDF-E2-18",$A$178:$A$215,0))+2*$C$175</f>
        <v/>
      </c>
      <c r="D245" s="95" t="inlineStr">
        <is>
          <t>IDR/sheet</t>
        </is>
      </c>
      <c r="E245" s="95" t="n"/>
      <c r="F245" s="95" t="n"/>
      <c r="G245" s="95" t="n"/>
      <c r="H245" s="95" t="n"/>
      <c r="I245" s="95" t="n"/>
    </row>
    <row r="246">
      <c r="A246" s="95" t="inlineStr">
        <is>
          <t>LND-MDF-E2-15-MSF</t>
        </is>
      </c>
      <c r="B246" s="93" t="inlineStr">
        <is>
          <t>MDF E2 15 mm, Mindi single face</t>
        </is>
      </c>
      <c r="C246" s="128">
        <f>INDEX($C$178:$C$215,MATCH("LND-MDF-E2-15",$A$178:$A$215,0))+$C$175</f>
        <v/>
      </c>
      <c r="D246" s="95" t="inlineStr">
        <is>
          <t>IDR/sheet</t>
        </is>
      </c>
      <c r="E246" s="95" t="n"/>
      <c r="F246" s="95" t="n"/>
      <c r="G246" s="95" t="n"/>
      <c r="H246" s="95" t="n"/>
      <c r="I246" s="95" t="n"/>
    </row>
    <row r="247">
      <c r="A247" s="95" t="inlineStr">
        <is>
          <t>LND-MDF-E2-12-MSF</t>
        </is>
      </c>
      <c r="B247" s="93" t="inlineStr">
        <is>
          <t>MDF E2 12 mm, Mindi single face</t>
        </is>
      </c>
      <c r="C247" s="128">
        <f>INDEX($C$178:$C$215,MATCH("LND-MDF-E2-12",$A$178:$A$215,0))+$C$175</f>
        <v/>
      </c>
      <c r="D247" s="95" t="inlineStr">
        <is>
          <t>IDR/sheet</t>
        </is>
      </c>
      <c r="E247" s="95" t="n"/>
      <c r="F247" s="95" t="n"/>
      <c r="G247" s="95" t="n"/>
      <c r="H247" s="95" t="n"/>
      <c r="I247" s="95" t="n"/>
    </row>
    <row r="248">
      <c r="A248" s="95" t="inlineStr">
        <is>
          <t>LND-MDF-E2-9-MSF</t>
        </is>
      </c>
      <c r="B248" s="93" t="inlineStr">
        <is>
          <t>MDF E2 9 mm, Mindi single face</t>
        </is>
      </c>
      <c r="C248" s="128">
        <f>INDEX($C$178:$C$215,MATCH("LND-MDF-E2-9",$A$178:$A$215,0))+$C$175</f>
        <v/>
      </c>
      <c r="D248" s="95" t="inlineStr">
        <is>
          <t>IDR/sheet</t>
        </is>
      </c>
      <c r="E248" s="95" t="n"/>
      <c r="F248" s="95" t="n"/>
      <c r="G248" s="95" t="n"/>
      <c r="H248" s="95" t="n"/>
      <c r="I248" s="95" t="n"/>
    </row>
    <row r="249">
      <c r="A249" s="95" t="inlineStr">
        <is>
          <t>LND-MDF-E2-6-MSF</t>
        </is>
      </c>
      <c r="B249" s="93" t="inlineStr">
        <is>
          <t>MDF E2 6 mm, Mindi single face</t>
        </is>
      </c>
      <c r="C249" s="128">
        <f>INDEX($C$178:$C$215,MATCH("LND-MDF-E2-6",$A$178:$A$215,0))+$C$175</f>
        <v/>
      </c>
      <c r="D249" s="95" t="inlineStr">
        <is>
          <t>IDR/sheet</t>
        </is>
      </c>
      <c r="E249" s="95" t="n"/>
      <c r="F249" s="95" t="n"/>
      <c r="G249" s="95" t="n"/>
      <c r="H249" s="95" t="n"/>
      <c r="I249" s="95" t="n"/>
    </row>
    <row r="251">
      <c r="A251" s="127" t="inlineStr">
        <is>
          <t>METAL (added 19 Oct 2026). Value EMPTY: price not yet received. Fill column C; METAL parts cost 0 until filled.</t>
        </is>
      </c>
      <c r="B251" s="98" t="n"/>
      <c r="C251" s="98" t="n"/>
      <c r="D251" s="98" t="n"/>
      <c r="E251" s="98" t="n"/>
      <c r="F251" s="98" t="n"/>
      <c r="G251" s="98" t="n"/>
      <c r="H251" s="98" t="n"/>
      <c r="I251" s="98" t="n"/>
    </row>
    <row r="252">
      <c r="A252" s="113" t="inlineStr">
        <is>
          <t>METAL_A</t>
        </is>
      </c>
      <c r="B252" s="117" t="inlineStr">
        <is>
          <t>Metal tier A (exposed, long), per m³ of component</t>
        </is>
      </c>
      <c r="C252" s="129" t="n"/>
      <c r="D252" s="113" t="inlineStr">
        <is>
          <t>IDR/m³</t>
        </is>
      </c>
      <c r="E252" s="113" t="inlineStr">
        <is>
          <t>EMPTY: waiting for price</t>
        </is>
      </c>
      <c r="F252" s="95" t="n"/>
      <c r="G252" s="95" t="n"/>
      <c r="H252" s="95" t="n"/>
      <c r="I252" s="95" t="n"/>
    </row>
    <row r="253">
      <c r="A253" s="113" t="inlineStr">
        <is>
          <t>METAL_B</t>
        </is>
      </c>
      <c r="B253" s="117" t="inlineStr">
        <is>
          <t>Metal tier B</t>
        </is>
      </c>
      <c r="C253" s="129" t="n"/>
      <c r="D253" s="113" t="inlineStr">
        <is>
          <t>IDR/m³</t>
        </is>
      </c>
      <c r="E253" s="113" t="inlineStr">
        <is>
          <t>EMPTY: waiting for price</t>
        </is>
      </c>
      <c r="F253" s="95" t="n"/>
      <c r="G253" s="95" t="n"/>
      <c r="H253" s="95" t="n"/>
      <c r="I253" s="95" t="n"/>
    </row>
    <row r="254">
      <c r="A254" s="113" t="inlineStr">
        <is>
          <t>METAL_C</t>
        </is>
      </c>
      <c r="B254" s="117" t="inlineStr">
        <is>
          <t>Metal tier C</t>
        </is>
      </c>
      <c r="C254" s="129" t="n"/>
      <c r="D254" s="113" t="inlineStr">
        <is>
          <t>IDR/m³</t>
        </is>
      </c>
      <c r="E254" s="113" t="inlineStr">
        <is>
          <t>EMPTY: waiting for price</t>
        </is>
      </c>
      <c r="F254" s="95" t="n"/>
      <c r="G254" s="95" t="n"/>
      <c r="H254" s="95" t="n"/>
      <c r="I254" s="95" t="n"/>
    </row>
    <row r="255">
      <c r="A255" s="113" t="inlineStr">
        <is>
          <t>METAL_D</t>
        </is>
      </c>
      <c r="B255" s="117" t="inlineStr">
        <is>
          <t>Metal tier D</t>
        </is>
      </c>
      <c r="C255" s="129" t="n"/>
      <c r="D255" s="113" t="inlineStr">
        <is>
          <t>IDR/m³</t>
        </is>
      </c>
      <c r="E255" s="113" t="inlineStr">
        <is>
          <t>EMPTY: waiting for price</t>
        </is>
      </c>
      <c r="F255" s="95" t="n"/>
      <c r="G255" s="95" t="n"/>
      <c r="H255" s="95" t="n"/>
      <c r="I255" s="95" t="n"/>
    </row>
    <row r="256">
      <c r="A256" s="113" t="inlineStr">
        <is>
          <t>metal_brass</t>
        </is>
      </c>
      <c r="B256" s="117" t="inlineStr">
        <is>
          <t>Brass, per kg (reference)</t>
        </is>
      </c>
      <c r="C256" s="129" t="n"/>
      <c r="D256" s="113" t="inlineStr">
        <is>
          <t>IDR/kg</t>
        </is>
      </c>
      <c r="E256" s="113" t="inlineStr">
        <is>
          <t>EMPTY: waiting for price</t>
        </is>
      </c>
      <c r="F256" s="95" t="n"/>
      <c r="G256" s="95" t="n"/>
      <c r="H256" s="95" t="n"/>
      <c r="I256" s="95" t="n"/>
    </row>
    <row r="257">
      <c r="A257" s="113" t="inlineStr">
        <is>
          <t>metal_steel</t>
        </is>
      </c>
      <c r="B257" s="117" t="inlineStr">
        <is>
          <t>Steel / hollow section, per kg (reference)</t>
        </is>
      </c>
      <c r="C257" s="129" t="n"/>
      <c r="D257" s="113" t="inlineStr">
        <is>
          <t>IDR/kg</t>
        </is>
      </c>
      <c r="E257" s="113" t="inlineStr">
        <is>
          <t>EMPTY: waiting for price</t>
        </is>
      </c>
      <c r="F257" s="95" t="n"/>
      <c r="G257" s="95" t="n"/>
      <c r="H257" s="95" t="n"/>
      <c r="I257" s="95" t="n"/>
    </row>
  </sheetData>
  <conditionalFormatting sqref="C5:C400">
    <cfRule type="expression" priority="1" dxfId="0" stopIfTrue="0">
      <formula>AND($A5&lt;&gt;"",$A5&lt;&gt;"code",$B5&lt;&gt;"",$C5="")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LND-PLY-E2-3</t>
        </is>
      </c>
      <c r="C3" s="2" t="inlineStr">
        <is>
          <t>NC NATURAL</t>
        </is>
      </c>
      <c r="D3" s="2" t="inlineStr">
        <is>
          <t>Y</t>
        </is>
      </c>
      <c r="E3" s="2" t="inlineStr">
        <is>
          <t>TIER_A_MIN_LEN mm</t>
        </is>
      </c>
      <c r="F3" s="46" t="n">
        <v>1000</v>
      </c>
    </row>
    <row r="4">
      <c r="A4" s="2" t="inlineStr">
        <is>
          <t>MINDI</t>
        </is>
      </c>
      <c r="B4" s="2" t="inlineStr">
        <is>
          <t>LND-PLY-E2-6</t>
        </is>
      </c>
      <c r="C4" s="2" t="inlineStr">
        <is>
          <t>PU DUCO</t>
        </is>
      </c>
      <c r="D4" s="2" t="inlineStr">
        <is>
          <t>N</t>
        </is>
      </c>
      <c r="E4" s="2" t="inlineStr">
        <is>
          <t>TIER_D_MAX_VOL m3</t>
        </is>
      </c>
      <c r="F4" s="46" t="n">
        <v>0.0005</v>
      </c>
    </row>
    <row r="5">
      <c r="A5" s="2" t="inlineStr">
        <is>
          <t>MERANTI</t>
        </is>
      </c>
      <c r="B5" s="2" t="inlineStr">
        <is>
          <t>LND-PLY-E2-9</t>
        </is>
      </c>
      <c r="C5" s="2" t="inlineStr">
        <is>
          <t>NC + GLAZE</t>
        </is>
      </c>
      <c r="E5" s="2" t="inlineStr">
        <is>
          <t>TIER_D_MAX_LEN mm</t>
        </is>
      </c>
      <c r="F5" s="46" t="n">
        <v>300</v>
      </c>
    </row>
    <row r="6">
      <c r="A6" s="2" t="inlineStr">
        <is>
          <t>OTHER</t>
        </is>
      </c>
      <c r="B6" s="2" t="inlineStr">
        <is>
          <t>LND-PLY-E2-12</t>
        </is>
      </c>
      <c r="C6" s="2" t="inlineStr">
        <is>
          <t>NONE (RAW)</t>
        </is>
      </c>
      <c r="E6" s="2" t="inlineStr">
        <is>
          <t>SHEET_L mm</t>
        </is>
      </c>
      <c r="F6" s="46" t="n">
        <v>2440</v>
      </c>
    </row>
    <row r="7">
      <c r="B7" s="2" t="inlineStr">
        <is>
          <t>LND-PLY-E2-15</t>
        </is>
      </c>
      <c r="C7" s="2" t="inlineStr">
        <is>
          <t>OTHER</t>
        </is>
      </c>
      <c r="E7" s="2" t="inlineStr">
        <is>
          <t>SHEET_W mm</t>
        </is>
      </c>
      <c r="F7" s="46" t="n">
        <v>1220</v>
      </c>
    </row>
    <row r="8">
      <c r="B8" s="2" t="inlineStr">
        <is>
          <t>LND-PLY-E2-18</t>
        </is>
      </c>
      <c r="E8" s="2" t="inlineStr">
        <is>
          <t>SHEET_KERF mm</t>
        </is>
      </c>
      <c r="F8" s="46" t="n">
        <v>5</v>
      </c>
    </row>
    <row r="9">
      <c r="B9" s="2" t="inlineStr">
        <is>
          <t>LND-MDF-E2-3</t>
        </is>
      </c>
      <c r="E9" s="2" t="inlineStr">
        <is>
          <t>CARTON_ADD mm</t>
        </is>
      </c>
      <c r="F9" s="46" t="n">
        <v>40</v>
      </c>
    </row>
    <row r="10">
      <c r="B10" s="2" t="inlineStr">
        <is>
          <t>LND-MDF-E2-6</t>
        </is>
      </c>
      <c r="E10" s="2" t="inlineStr">
        <is>
          <t>NARROW_MAX_SECTION mm</t>
        </is>
      </c>
      <c r="F10" s="46" t="n">
        <v>40</v>
      </c>
    </row>
    <row r="11">
      <c r="B11" s="2" t="inlineStr">
        <is>
          <t>LND-MDF-E2-9</t>
        </is>
      </c>
      <c r="E11" s="2" t="inlineStr">
        <is>
          <t>NARROW_MAX_LEN mm</t>
        </is>
      </c>
      <c r="F11" s="46" t="n">
        <v>1500</v>
      </c>
    </row>
    <row r="12">
      <c r="B12" s="2" t="inlineStr">
        <is>
          <t>LND-MDF-E2-12</t>
        </is>
      </c>
    </row>
    <row r="13">
      <c r="B13" s="2" t="inlineStr">
        <is>
          <t>LND-MDF-E2-15</t>
        </is>
      </c>
    </row>
    <row r="14">
      <c r="B14" s="2" t="inlineStr">
        <is>
          <t>LND-MDF-E2-18</t>
        </is>
      </c>
    </row>
    <row r="15">
      <c r="B15" s="2" t="inlineStr">
        <is>
          <t>LND-PLY-E2-18-MSF</t>
        </is>
      </c>
    </row>
    <row r="16">
      <c r="B16" s="2" t="inlineStr">
        <is>
          <t>LND-PLY-E2-18-MDF</t>
        </is>
      </c>
    </row>
    <row r="17">
      <c r="B17" s="2" t="inlineStr">
        <is>
          <t>LND-PLY-E2-15-MSF</t>
        </is>
      </c>
    </row>
    <row r="18">
      <c r="B18" s="2" t="inlineStr">
        <is>
          <t>LND-PLY-E2-15-MDF</t>
        </is>
      </c>
    </row>
    <row r="19">
      <c r="B19" s="2" t="inlineStr">
        <is>
          <t>LND-PLY-E2-12-MSF</t>
        </is>
      </c>
    </row>
    <row r="20">
      <c r="B20" s="2" t="inlineStr">
        <is>
          <t>LND-PLY-E2-12-MDF</t>
        </is>
      </c>
    </row>
    <row r="21" ht="15.75" customHeight="1" s="59">
      <c r="B21" s="2" t="inlineStr">
        <is>
          <t>LND-PLY-E2-9-MSF</t>
        </is>
      </c>
    </row>
    <row r="22" ht="15.75" customHeight="1" s="59">
      <c r="B22" s="2" t="inlineStr">
        <is>
          <t>LND-PLY-E2-9-MDF</t>
        </is>
      </c>
    </row>
    <row r="23" ht="15.75" customHeight="1" s="59">
      <c r="B23" s="2" t="inlineStr">
        <is>
          <t>LND-PLY-E2-6-MSF</t>
        </is>
      </c>
    </row>
    <row r="24" ht="15.75" customHeight="1" s="59">
      <c r="B24" s="2" t="inlineStr">
        <is>
          <t>LND-PLY-E2-6-MDF</t>
        </is>
      </c>
    </row>
    <row r="25" ht="15.75" customHeight="1" s="59">
      <c r="B25" s="2" t="inlineStr">
        <is>
          <t>LND-PLY-E2-3-MSF</t>
        </is>
      </c>
    </row>
    <row r="26" ht="15.75" customHeight="1" s="59">
      <c r="B26" s="2" t="inlineStr">
        <is>
          <t>LND-PLY-E2-3-MDF</t>
        </is>
      </c>
    </row>
    <row r="27" ht="15.75" customHeight="1" s="59">
      <c r="B27" s="2" t="inlineStr">
        <is>
          <t>LND-MDF-E2-18-MSF</t>
        </is>
      </c>
    </row>
    <row r="28" ht="15.75" customHeight="1" s="59">
      <c r="B28" s="2" t="inlineStr">
        <is>
          <t>LND-MDF-E2-18-MDF</t>
        </is>
      </c>
    </row>
    <row r="29" ht="15.75" customHeight="1" s="59">
      <c r="B29" s="2" t="inlineStr">
        <is>
          <t>LND-MDF-E2-15-MSF</t>
        </is>
      </c>
    </row>
    <row r="30" ht="15.75" customHeight="1" s="59">
      <c r="B30" s="2" t="inlineStr">
        <is>
          <t>LND-MDF-E2-12-MSF</t>
        </is>
      </c>
    </row>
    <row r="31" ht="15.75" customHeight="1" s="59">
      <c r="B31" s="2" t="inlineStr">
        <is>
          <t>LND-MDF-E2-9-MSF</t>
        </is>
      </c>
    </row>
    <row r="32" ht="15.75" customHeight="1" s="59">
      <c r="B32" s="2" t="inlineStr">
        <is>
          <t>LND-MDF-E2-6-MSF</t>
        </is>
      </c>
    </row>
    <row r="33" ht="15.75" customHeight="1" s="59">
      <c r="B33" s="2" t="n"/>
    </row>
    <row r="34" ht="15.75" customHeight="1" s="59">
      <c r="B34" s="2" t="n"/>
    </row>
    <row r="35" ht="15.75" customHeight="1" s="59">
      <c r="B35" s="2" t="n"/>
    </row>
    <row r="36" ht="15.75" customHeight="1" s="59">
      <c r="B36" s="2" t="n"/>
    </row>
    <row r="37" ht="15.75" customHeight="1" s="59">
      <c r="B37" s="2" t="n"/>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2026-10-19T02:11:28Z</dcterms:modified>
  <cp:lastModifiedBy>Rizky</cp:lastModifiedBy>
</cp:coreProperties>
</file>
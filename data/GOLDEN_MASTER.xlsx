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1" activeTab="1" autoFilterDateGrouping="1"/>
  </bookViews>
  <sheets>
    <sheet name="README" sheetId="1" state="visible" r:id="rId1"/>
    <sheet name="ITEMS" sheetId="2" state="visible" r:id="rId2"/>
    <sheet name="TEMPLATE" sheetId="3" state="visible" r:id="rId3"/>
    <sheet name="RATES" sheetId="4" state="visible" r:id="rId4"/>
    <sheet name="LISTS" sheetId="5" state="visible" r:id="rId5"/>
    <sheet name="LV453-B61" sheetId="6" state="visible" r:id="rId6"/>
    <sheet name="PART LIST REFERENC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;\(#,##0\);&quot;-&quot;"/>
    <numFmt numFmtId="165" formatCode="0.000"/>
    <numFmt numFmtId="166" formatCode="0.0000"/>
    <numFmt numFmtId="167" formatCode="0.00000"/>
    <numFmt numFmtId="168" formatCode="#,##0.0"/>
    <numFmt numFmtId="169" formatCode="0.0%"/>
  </numFmts>
  <fonts count="12">
    <font>
      <name val="Calibri"/>
      <color theme="1"/>
      <sz val="11"/>
      <scheme val="minor"/>
    </font>
    <font>
      <name val="Arial"/>
      <family val="2"/>
      <b val="1"/>
      <color theme="1"/>
      <sz val="12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Calibri"/>
      <family val="2"/>
      <color theme="1"/>
      <sz val="11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10"/>
    </font>
    <font>
      <name val="Arial"/>
      <b val="1"/>
      <color rgb="00171513"/>
      <sz val="14"/>
    </font>
    <font>
      <name val="Arial"/>
      <i val="1"/>
      <color rgb="005E5953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DEDED"/>
        <bgColor rgb="FFEDEDED"/>
      </patternFill>
    </fill>
    <fill>
      <patternFill patternType="solid">
        <fgColor rgb="FFD9E1F2"/>
        <bgColor rgb="FFD9E1F2"/>
      </patternFill>
    </fill>
    <fill>
      <patternFill patternType="solid">
        <fgColor rgb="002B180D"/>
        <bgColor rgb="002B180D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16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3" borderId="2" pivotButton="0" quotePrefix="0" xfId="0"/>
    <xf numFmtId="0" fontId="4" fillId="3" borderId="2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4" borderId="4" pivotButton="0" quotePrefix="0" xfId="0"/>
    <xf numFmtId="0" fontId="7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pivotButton="0" quotePrefix="0" xfId="0"/>
    <xf numFmtId="0" fontId="2" fillId="7" borderId="4" pivotButton="0" quotePrefix="0" xfId="0"/>
    <xf numFmtId="164" fontId="2" fillId="7" borderId="4" pivotButton="0" quotePrefix="0" xfId="0"/>
    <xf numFmtId="0" fontId="3" fillId="0" borderId="4" pivotButton="0" quotePrefix="0" xfId="0"/>
    <xf numFmtId="0" fontId="2" fillId="6" borderId="4" pivotButton="0" quotePrefix="0" xfId="0"/>
    <xf numFmtId="0" fontId="4" fillId="0" borderId="4" pivotButton="0" quotePrefix="0" xfId="0"/>
    <xf numFmtId="164" fontId="3" fillId="7" borderId="4" pivotButton="0" quotePrefix="0" xfId="0"/>
    <xf numFmtId="2" fontId="2" fillId="6" borderId="4" pivotButton="0" quotePrefix="0" xfId="0"/>
    <xf numFmtId="165" fontId="2" fillId="7" borderId="4" pivotButton="0" quotePrefix="0" xfId="0"/>
    <xf numFmtId="165" fontId="2" fillId="6" borderId="4" pivotButton="0" quotePrefix="0" xfId="0"/>
    <xf numFmtId="166" fontId="2" fillId="7" borderId="4" pivotButton="0" quotePrefix="0" xfId="0"/>
    <xf numFmtId="2" fontId="2" fillId="7" borderId="4" pivotButton="0" quotePrefix="0" xfId="0"/>
    <xf numFmtId="0" fontId="3" fillId="6" borderId="4" pivotButton="0" quotePrefix="0" xfId="0"/>
    <xf numFmtId="2" fontId="3" fillId="6" borderId="4" pivotButton="0" quotePrefix="0" xfId="0"/>
    <xf numFmtId="165" fontId="3" fillId="6" borderId="4" pivotButton="0" quotePrefix="0" xfId="0"/>
    <xf numFmtId="167" fontId="2" fillId="6" borderId="4" pivotButton="0" quotePrefix="0" xfId="0"/>
    <xf numFmtId="0" fontId="4" fillId="4" borderId="4" pivotButton="0" quotePrefix="0" xfId="0"/>
    <xf numFmtId="0" fontId="3" fillId="4" borderId="4" pivotButton="0" quotePrefix="0" xfId="0"/>
    <xf numFmtId="164" fontId="3" fillId="4" borderId="4" pivotButton="0" quotePrefix="0" xfId="0"/>
    <xf numFmtId="165" fontId="3" fillId="4" borderId="4" pivotButton="0" quotePrefix="0" xfId="0"/>
    <xf numFmtId="166" fontId="3" fillId="4" borderId="4" pivotButton="0" quotePrefix="0" xfId="0"/>
    <xf numFmtId="2" fontId="3" fillId="4" borderId="4" pivotButton="0" quotePrefix="0" xfId="0"/>
    <xf numFmtId="164" fontId="2" fillId="0" borderId="4" pivotButton="0" quotePrefix="0" xfId="0"/>
    <xf numFmtId="165" fontId="2" fillId="0" borderId="4" pivotButton="0" quotePrefix="0" xfId="0"/>
    <xf numFmtId="166" fontId="2" fillId="0" borderId="4" pivotButton="0" quotePrefix="0" xfId="0"/>
    <xf numFmtId="2" fontId="2" fillId="0" borderId="4" pivotButton="0" quotePrefix="0" xfId="0"/>
    <xf numFmtId="9" fontId="2" fillId="6" borderId="4" pivotButton="0" quotePrefix="0" xfId="0"/>
    <xf numFmtId="164" fontId="6" fillId="4" borderId="4" pivotButton="0" quotePrefix="0" xfId="0"/>
    <xf numFmtId="164" fontId="2" fillId="6" borderId="4" pivotButton="0" quotePrefix="0" xfId="0"/>
    <xf numFmtId="168" fontId="2" fillId="6" borderId="4" pivotButton="0" quotePrefix="0" xfId="0"/>
    <xf numFmtId="1" fontId="2" fillId="6" borderId="4" pivotButton="0" quotePrefix="0" xfId="0"/>
    <xf numFmtId="164" fontId="6" fillId="0" borderId="0" pivotButton="0" quotePrefix="0" xfId="0"/>
    <xf numFmtId="169" fontId="6" fillId="0" borderId="0" pivotButton="0" quotePrefix="0" xfId="0"/>
    <xf numFmtId="2" fontId="6" fillId="0" borderId="0" pivotButton="0" quotePrefix="0" xfId="0"/>
    <xf numFmtId="164" fontId="2" fillId="0" borderId="0" pivotButton="0" quotePrefix="0" xfId="0"/>
    <xf numFmtId="169" fontId="2" fillId="0" borderId="0" pivotButton="0" quotePrefix="0" xfId="0"/>
    <xf numFmtId="0" fontId="6" fillId="0" borderId="0" pivotButton="0" quotePrefix="0" xfId="0"/>
    <xf numFmtId="0" fontId="8" fillId="5" borderId="4" applyAlignment="1" pivotButton="0" quotePrefix="0" xfId="0">
      <alignment vertical="center" wrapText="1"/>
    </xf>
    <xf numFmtId="0" fontId="6" fillId="0" borderId="4" applyAlignment="1" pivotButton="0" quotePrefix="0" xfId="0">
      <alignment horizontal="center"/>
    </xf>
    <xf numFmtId="0" fontId="3" fillId="2" borderId="1" pivotButton="0" quotePrefix="0" xfId="0"/>
    <xf numFmtId="0" fontId="5" fillId="0" borderId="3" pivotButton="0" quotePrefix="0" xfId="0"/>
    <xf numFmtId="0" fontId="5" fillId="0" borderId="5" pivotButton="0" quotePrefix="0" xfId="0"/>
    <xf numFmtId="0" fontId="2" fillId="0" borderId="6" pivotButton="0" quotePrefix="0" xfId="0"/>
    <xf numFmtId="0" fontId="5" fillId="0" borderId="7" pivotButton="0" quotePrefix="0" xfId="0"/>
    <xf numFmtId="0" fontId="5" fillId="0" borderId="8" pivotButton="0" quotePrefix="0" xfId="0"/>
    <xf numFmtId="0" fontId="2" fillId="6" borderId="9" applyAlignment="1" pivotButton="0" quotePrefix="0" xfId="0">
      <alignment horizontal="center" vertical="center"/>
    </xf>
    <xf numFmtId="0" fontId="5" fillId="0" borderId="10" pivotButton="0" quotePrefix="0" xfId="0"/>
    <xf numFmtId="0" fontId="5" fillId="0" borderId="11" pivotButton="0" quotePrefix="0" xfId="0"/>
    <xf numFmtId="0" fontId="5" fillId="0" borderId="12" pivotButton="0" quotePrefix="0" xfId="0"/>
    <xf numFmtId="0" fontId="0" fillId="0" borderId="0" pivotButton="0" quotePrefix="0" xfId="0"/>
    <xf numFmtId="0" fontId="5" fillId="0" borderId="13" pivotButton="0" quotePrefix="0" xfId="0"/>
    <xf numFmtId="0" fontId="5" fillId="0" borderId="14" pivotButton="0" quotePrefix="0" xfId="0"/>
    <xf numFmtId="0" fontId="5" fillId="0" borderId="15" pivotButton="0" quotePrefix="0" xfId="0"/>
    <xf numFmtId="0" fontId="5" fillId="0" borderId="16" pivotButton="0" quotePrefix="0" xfId="0"/>
    <xf numFmtId="0" fontId="6" fillId="0" borderId="6" pivotButton="0" quotePrefix="0" xfId="0"/>
    <xf numFmtId="0" fontId="7" fillId="5" borderId="6" applyAlignment="1" pivotButton="0" quotePrefix="0" xfId="0">
      <alignment vertical="center" wrapText="1"/>
    </xf>
    <xf numFmtId="0" fontId="3" fillId="2" borderId="16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6" borderId="16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0" fontId="11" fillId="8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7"/>
  <sheetViews>
    <sheetView showGridLines="0" workbookViewId="0">
      <selection activeCell="A1" sqref="A1"/>
    </sheetView>
  </sheetViews>
  <sheetFormatPr baseColWidth="8" defaultColWidth="14.42578125" defaultRowHeight="15" customHeight="1"/>
  <cols>
    <col width="4" customWidth="1" style="59" min="1" max="1"/>
    <col width="150" customWidth="1" style="59" min="2" max="2"/>
    <col width="8.7109375" customWidth="1" style="59" min="3" max="26"/>
  </cols>
  <sheetData>
    <row r="1" ht="15.75" customHeight="1" s="59">
      <c r="A1" s="1" t="inlineStr">
        <is>
          <t>LIVING IKON BOM TRACKER AND COSTING WORKBOOK, 5 Oct 2026</t>
        </is>
      </c>
    </row>
    <row r="2">
      <c r="A2" s="2" t="inlineStr">
        <is>
          <t>Same format and rate card as the PLV BOM Costing Workbook v3 (1 Oct 2026).</t>
        </is>
      </c>
    </row>
    <row r="4">
      <c r="A4" s="3" t="inlineStr">
        <is>
          <t>WHAT THIS IS</t>
        </is>
      </c>
      <c r="B4" s="4" t="n"/>
    </row>
    <row r="5" ht="27.75" customHeight="1" s="59">
      <c r="A5" s="5" t="n"/>
      <c r="B5" s="6" t="inlineStr">
        <is>
          <t>ITEMS lists the 36 items of the LEXI, NEW HOI AN and SIENNA catalogues, grouped by collection. Each item already has its own tab (tab name = item code; blue tabs LEXI, green NEW HOI AN, orange SIENNA).</t>
        </is>
      </c>
    </row>
    <row r="6" ht="27.75" customHeight="1" s="59">
      <c r="A6" s="5" t="n"/>
      <c r="B6" s="6" t="inlineStr">
        <is>
          <t>The operator reads the drawing and types component sizes, quantities and bought-in prices. Volume m³, face m², tier (grade A / A-CURVED / B / C / D) and all costs are calculated from the RATES tab. ITEMS shows status and unit cost per item for the quotation.</t>
        </is>
      </c>
    </row>
    <row r="8">
      <c r="A8" s="3" t="inlineStr">
        <is>
          <t>COLOURS</t>
        </is>
      </c>
      <c r="B8" s="4" t="n"/>
    </row>
    <row r="9" ht="27.75" customHeight="1" s="59">
      <c r="A9" s="5" t="n"/>
      <c r="B9" s="6" t="inlineStr">
        <is>
          <t>Blue text / white cell = you type here.   Yellow cell = must be filled (item code, hardware unit price).   Grey = calculated, do not type.   Light blue = cost from the rate card, do not type.</t>
        </is>
      </c>
    </row>
    <row r="11">
      <c r="A11" s="3" t="inlineStr">
        <is>
          <t>STEPS FOR EACH ITEM</t>
        </is>
      </c>
      <c r="B11" s="4" t="n"/>
    </row>
    <row r="12" ht="27.75" customHeight="1" s="59">
      <c r="A12" s="5" t="inlineStr">
        <is>
          <t>1</t>
        </is>
      </c>
      <c r="B12" s="6" t="inlineStr">
        <is>
          <t>Open the item tab. Code, name, collection / room, overall size and catalogue link are filled from ITEMS. If one is wrong or empty, correct it on ITEMS (or type over it).</t>
        </is>
      </c>
    </row>
    <row r="13" ht="27.75" customHeight="1" s="59">
      <c r="A13" s="5" t="inlineStr">
        <is>
          <t>2</t>
        </is>
      </c>
      <c r="B13" s="6" t="inlineStr">
        <is>
          <t>Paste the DRAWING LINK on ITEMS column I (it shows on the tab). Choose FINISH RECIPE and FLATPACK Y/N. Flatpack: one PACKING row per box (inside size). Assembled: leave the boxes empty.</t>
        </is>
      </c>
    </row>
    <row r="14" ht="15" customHeight="1" s="59">
      <c r="A14" s="5" t="inlineStr">
        <is>
          <t>3</t>
        </is>
      </c>
      <c r="B14" s="6" t="inlineStr">
        <is>
          <t>SOLID WOOD: one line per component: material, name, L, W, T in mm, qty per ONE item, EXPOSED Y/N, CURVED Y/N. The m³, m², tier and cost appear by themselves.</t>
        </is>
      </c>
    </row>
    <row r="15" ht="27.75" customHeight="1" s="59">
      <c r="A15" s="5" t="inlineStr">
        <is>
          <t>4</t>
        </is>
      </c>
      <c r="B15" s="6" t="inlineStr">
        <is>
          <t>PANELS: one line per panel: panel type, L, W, T, qty, exposed faces 0 / 1 / 2. Round, oversize or laminated panel with no size: type the number of sheets in SHEETS (manual).</t>
        </is>
      </c>
    </row>
    <row r="16" ht="27.75" customHeight="1" s="59">
      <c r="A16" s="5" t="inlineStr">
        <is>
          <t>5</t>
        </is>
      </c>
      <c r="B16" s="6" t="inlineStr">
        <is>
          <t>HARDWARE &amp; BOUGHT-IN: every purchased part or outside job: description, qty, UOM and UNIT PRICE IDR. This includes drawer runners, hinges, handles, SIENNA metal frames, NEW HOI AN rattan, mirror glass, chair fabric and foam.</t>
        </is>
      </c>
    </row>
    <row r="17" ht="15" customHeight="1" s="59">
      <c r="A17" s="5" t="n"/>
      <c r="B17" s="6" t="inlineStr">
        <is>
          <t>The EXAMPLE OV-505 B tab is a filled-in item (a Standard Maldives shelf) showing what a finished tab looks like.</t>
        </is>
      </c>
    </row>
    <row r="18" ht="15" customHeight="1" s="59">
      <c r="A18" s="5" t="inlineStr">
        <is>
          <t>6</t>
        </is>
      </c>
      <c r="B18" s="6" t="inlineStr">
        <is>
          <t>Look at the CHECK column and "Open input checks" under the summary. All must be OK / 0. Then ITEMS shows the item as "costed".</t>
        </is>
      </c>
    </row>
    <row r="19" ht="15" customHeight="1" s="59">
      <c r="A19" s="5" t="inlineStr">
        <is>
          <t>7</t>
        </is>
      </c>
      <c r="B19" s="6" t="inlineStr">
        <is>
          <t>New item not in the catalogues: add it on a spare row of ITEMS, then right-click TEMPLATE, Duplicate, rename the copy to the item code and type the code in C1.</t>
        </is>
      </c>
    </row>
    <row r="21" ht="15.75" customHeight="1" s="59">
      <c r="A21" s="3" t="inlineStr">
        <is>
          <t>LANGKAH SINGKAT (BAHASA INDONESIA)</t>
        </is>
      </c>
      <c r="B21" s="4" t="n"/>
    </row>
    <row r="22" ht="27.75" customHeight="1" s="59">
      <c r="A22" s="5" t="inlineStr">
        <is>
          <t>1</t>
        </is>
      </c>
      <c r="B22" s="6" t="inlineStr">
        <is>
          <t>Buka tab item (nama tab = kode item). Kode, nama, koleksi / ruangan, ukuran keseluruhan dan link katalog terisi otomatis dari ITEMS. Kalau salah atau kosong, perbaiki di ITEMS.</t>
        </is>
      </c>
    </row>
    <row r="23" ht="27.75" customHeight="1" s="59">
      <c r="A23" s="5" t="inlineStr">
        <is>
          <t>2</t>
        </is>
      </c>
      <c r="B23" s="6" t="inlineStr">
        <is>
          <t>Tempel link gambar di ITEMS kolom I. Isi komponen kayu solid (ukuran mm, qty per 1 item, EXPOSED Y/N, CURVED Y/N), panel, lalu hardware / barang beli dengan HARGA SATUAN (IDR).</t>
        </is>
      </c>
    </row>
    <row r="24" ht="15" customHeight="1" s="59">
      <c r="A24" s="5" t="inlineStr">
        <is>
          <t>3</t>
        </is>
      </c>
      <c r="B24" s="6" t="inlineStr">
        <is>
          <t>Sel abu-abu dan biru muda dihitung sistem, jangan diketik. Kolom CHECK harus OK semua. Tab RATES dan LISTS jangan diubah.</t>
        </is>
      </c>
    </row>
    <row r="25" ht="15.75" customHeight="1" s="59"/>
    <row r="26" ht="15.75" customHeight="1" s="59">
      <c r="A26" s="3" t="inlineStr">
        <is>
          <t>RULES BUILT INTO THE FORMULAS</t>
        </is>
      </c>
      <c r="B26" s="4" t="n"/>
    </row>
    <row r="27" ht="27.75" customHeight="1" s="59">
      <c r="A27" s="5" t="n"/>
      <c r="B27" s="6" t="inlineStr">
        <is>
          <t>Tier (solid wood): D = volume under 0.0005 m³ and under 300 mm · C = not exposed · A-CURVED = curved / wide board · B = section up to 40 × 40 mm and up to 1500 mm long, or shorter than 1000 mm · A = 1000 mm and longer. TIER OVERRIDE beats the rule.</t>
        </is>
      </c>
    </row>
    <row r="28" ht="27.75" customHeight="1" s="59">
      <c r="A28" s="5" t="n"/>
      <c r="B28" s="6" t="inlineStr">
        <is>
          <t>Tier rate = (log price + processing) × yield + carpentry labour, per m³ of finished component. Meranti = sawn price × yield + labour. Species OTHER has no rate: price it as a bought-in line.</t>
        </is>
      </c>
    </row>
    <row r="29" ht="27.75" customHeight="1" s="59">
      <c r="A29" s="5" t="n"/>
      <c r="B29" s="6" t="inlineStr">
        <is>
          <t>Panels: pieces per sheet from the 2440 × 1220 sheet with 5 mm kerf; whole sheets charged, unless waste on the last sheet is over 25% (then the fraction + 5% handling).</t>
        </is>
      </c>
    </row>
    <row r="30" ht="27.75" customHeight="1" s="59">
      <c r="A30" s="5" t="n"/>
      <c r="B30" s="6" t="inlineStr">
        <is>
          <t>Finishing: four lines (finishing materials, sanding materials, sanding labour, finishing labour) × exposed m². Exposed m² = one face (L × W × qty) per exposed solid component + exposed panel faces. Recipe NONE (RAW) = no finishing cost.</t>
        </is>
      </c>
    </row>
    <row r="31" ht="15" customHeight="1" s="59">
      <c r="A31" s="5" t="n"/>
      <c r="B31" s="6" t="inlineStr">
        <is>
          <t>Packing: carton = box size + 40 mm each way; cost = carton m² × rate + carton m³ × packing labour. Misc 5% on direct cost, overhead % on direct + misc.</t>
        </is>
      </c>
    </row>
    <row r="32" ht="15.75" customHeight="1" s="59"/>
    <row r="33" ht="15.75" customHeight="1" s="59">
      <c r="A33" s="3" t="inlineStr">
        <is>
          <t>STILL OPEN</t>
        </is>
      </c>
      <c r="B33" s="4" t="n"/>
    </row>
    <row r="34" ht="27.75" customHeight="1" s="59">
      <c r="A34" s="5" t="n"/>
      <c r="B34" s="6" t="inlineStr">
        <is>
          <t>Materials: the catalogues specify oak, Vic ash, MDF with oak veneer, rattan and metal frames. RATES only has teak, mindi, meranti and plywood with teak / mindi veneer. Decide the build material per collection, or add rates, before the costs are used for a quotation.</t>
        </is>
      </c>
    </row>
    <row r="35" ht="27.75" customHeight="1" s="59">
      <c r="A35" s="5" t="n"/>
      <c r="B35" s="6" t="inlineStr">
        <is>
          <t>Rate card: teak and mindi log prices are implied from the STMV ledger, not nota prices; yields for tiers A, B and D are by judgement; fasteners total, veneer prices and packing labour are estimates. Changing a blue cell on RATES re-costs every item.</t>
        </is>
      </c>
    </row>
    <row r="36" ht="15" customHeight="1" s="59">
      <c r="A36" s="5" t="n"/>
      <c r="B36" s="6" t="inlineStr">
        <is>
          <t>Finishing m² counts one face per component. For slatted items this is well below the real painted surface.</t>
        </is>
      </c>
    </row>
    <row r="37" ht="15" customHeight="1" s="59">
      <c r="A37" s="5" t="n"/>
      <c r="B37" s="6" t="inlineStr">
        <is>
          <t>The workbook gives factory cost per unit in IDR. Margin, currency and freight for the quotation are not in it.</t>
        </is>
      </c>
    </row>
    <row r="38" ht="15.75" customHeight="1" s="59"/>
    <row r="39" ht="15.75" customHeight="1" s="59"/>
    <row r="40" ht="15.75" customHeight="1" s="59"/>
    <row r="41" ht="15.75" customHeight="1" s="59"/>
    <row r="42" ht="15.75" customHeight="1" s="59"/>
    <row r="43" ht="15.75" customHeight="1" s="59"/>
    <row r="44" ht="15.75" customHeight="1" s="59"/>
    <row r="45" ht="15.75" customHeight="1" s="59"/>
    <row r="46" ht="15.75" customHeight="1" s="59"/>
    <row r="47" ht="15.75" customHeight="1" s="59"/>
    <row r="48" ht="15.75" customHeight="1" s="59"/>
    <row r="49" ht="15.75" customHeight="1" s="59"/>
    <row r="50" ht="15.75" customHeight="1" s="59"/>
    <row r="51" ht="15.75" customHeight="1" s="59"/>
    <row r="52" ht="15.75" customHeight="1" s="59"/>
    <row r="53" ht="15.75" customHeight="1" s="59"/>
    <row r="54" ht="15.75" customHeight="1" s="59"/>
    <row r="55" ht="15.75" customHeight="1" s="59"/>
    <row r="56" ht="15.75" customHeight="1" s="59"/>
    <row r="57" ht="15.75" customHeight="1" s="59"/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26" sqref="D26"/>
    </sheetView>
  </sheetViews>
  <sheetFormatPr baseColWidth="8" defaultColWidth="14.42578125" defaultRowHeight="15" customHeight="1"/>
  <cols>
    <col width="5" customWidth="1" style="59" min="1" max="1"/>
    <col width="14" customWidth="1" style="59" min="2" max="3"/>
    <col width="46" customWidth="1" style="59" min="4" max="4"/>
    <col width="8" customWidth="1" style="59" min="5" max="8"/>
    <col width="14" customWidth="1" style="59" min="9" max="9"/>
    <col width="13" customWidth="1" style="59" min="10" max="11"/>
    <col width="12" customWidth="1" style="59" min="12" max="13"/>
    <col width="13" customWidth="1" style="59" min="14" max="14"/>
    <col width="12" customWidth="1" style="59" min="15" max="15"/>
    <col width="13" customWidth="1" style="59" min="16" max="16"/>
    <col width="14" customWidth="1" style="59" min="17" max="17"/>
    <col width="16" customWidth="1" style="59" min="18" max="18"/>
    <col width="10" customWidth="1" style="59" min="19" max="19"/>
    <col width="9" customWidth="1" style="59" min="20" max="20"/>
    <col width="24" customWidth="1" style="59" min="21" max="21"/>
    <col width="14" customWidth="1" style="59" min="22" max="22"/>
    <col width="13" customWidth="1" style="59" min="23" max="23"/>
    <col width="44" customWidth="1" style="59" min="24" max="24"/>
    <col width="11" customWidth="1" style="59" min="25" max="26"/>
    <col width="13" customWidth="1" style="59" min="27" max="27"/>
  </cols>
  <sheetData>
    <row r="1" ht="15.75" customHeight="1" s="59">
      <c r="A1" s="1" t="inlineStr">
        <is>
          <t>LIVING IKON BOM TRACKER: ITEM LIST AND COST ROLL-UP (LEXI, NEW HOI AN, SIENNA catalogues 2026)</t>
        </is>
      </c>
    </row>
    <row r="2">
      <c r="A2" s="2" t="inlineStr">
        <is>
          <t>One tab per item, tab name = ITEM CODE exactly as in column C. Columns J to T, Y and Z fill by themselves from the item tab. Codes, names and sizes are as printed in the catalogues (L = length or width, W = width or depth). Blue = type or correct here.</t>
        </is>
      </c>
    </row>
    <row r="4" ht="42" customHeight="1" s="59">
      <c r="A4" s="8" t="inlineStr">
        <is>
          <t>NO</t>
        </is>
      </c>
      <c r="B4" s="8" t="inlineStr">
        <is>
          <t>COLLECTION</t>
        </is>
      </c>
      <c r="C4" s="8" t="inlineStr">
        <is>
          <t>ITEM CODE (= tab name)</t>
        </is>
      </c>
      <c r="D4" s="8" t="inlineStr">
        <is>
          <t>ITEM NAME</t>
        </is>
      </c>
      <c r="E4" s="8" t="inlineStr">
        <is>
          <t>L mm</t>
        </is>
      </c>
      <c r="F4" s="8" t="inlineStr">
        <is>
          <t>W mm</t>
        </is>
      </c>
      <c r="G4" s="8" t="inlineStr">
        <is>
          <t>H mm</t>
        </is>
      </c>
      <c r="H4" s="8" t="inlineStr">
        <is>
          <t>ORDER QTY</t>
        </is>
      </c>
      <c r="I4" s="8" t="inlineStr">
        <is>
          <t>DRAWING LINK</t>
        </is>
      </c>
      <c r="J4" s="8" t="inlineStr">
        <is>
          <t>STATUS</t>
        </is>
      </c>
      <c r="K4" s="8" t="inlineStr">
        <is>
          <t>TIMBER + FASTENERS</t>
        </is>
      </c>
      <c r="L4" s="8" t="inlineStr">
        <is>
          <t>PANELS</t>
        </is>
      </c>
      <c r="M4" s="8" t="inlineStr">
        <is>
          <t>FINISHING (4 lines)</t>
        </is>
      </c>
      <c r="N4" s="8" t="inlineStr">
        <is>
          <t>HARDWARE &amp; BOUGHT-IN</t>
        </is>
      </c>
      <c r="O4" s="8" t="inlineStr">
        <is>
          <t>PACKING</t>
        </is>
      </c>
      <c r="P4" s="8" t="inlineStr">
        <is>
          <t>MISC + OVERHEAD</t>
        </is>
      </c>
      <c r="Q4" s="8" t="inlineStr">
        <is>
          <t>UNIT COST IDR</t>
        </is>
      </c>
      <c r="R4" s="8" t="inlineStr">
        <is>
          <t>ORDER TOTAL IDR</t>
        </is>
      </c>
      <c r="S4" s="8" t="inlineStr">
        <is>
          <t>CARTON m³ / unit</t>
        </is>
      </c>
      <c r="T4" s="8" t="inlineStr">
        <is>
          <t>OPEN CHECKS</t>
        </is>
      </c>
      <c r="U4" s="8" t="inlineStr">
        <is>
          <t>COSTED BY / NOTE</t>
        </is>
      </c>
      <c r="V4" s="8" t="inlineStr">
        <is>
          <t>CATALOGUE LINK</t>
        </is>
      </c>
      <c r="W4" s="8" t="inlineStr">
        <is>
          <t>ROOM</t>
        </is>
      </c>
      <c r="X4" s="8" t="inlineStr">
        <is>
          <t>CATALOGUE MATERIAL / FINISH</t>
        </is>
      </c>
      <c r="Y4" s="8" t="inlineStr">
        <is>
          <t>SOLID WOOD m³ / unit</t>
        </is>
      </c>
      <c r="Z4" s="8" t="inlineStr">
        <is>
          <t>FINISHING m² / unit</t>
        </is>
      </c>
      <c r="AA4" s="8" t="inlineStr">
        <is>
          <t>PANELS + HARDWARE (status check)</t>
        </is>
      </c>
    </row>
    <row r="5">
      <c r="A5" s="4" t="n"/>
      <c r="B5" s="3" t="n"/>
      <c r="C5" s="4" t="n"/>
      <c r="D5" s="4" t="n"/>
      <c r="E5" s="4" t="n"/>
      <c r="F5" s="4" t="n"/>
      <c r="G5" s="4" t="n"/>
      <c r="H5" s="4" t="n"/>
      <c r="I5" s="4" t="n"/>
      <c r="J5" s="11" t="n"/>
      <c r="K5" s="12" t="n"/>
      <c r="L5" s="12" t="n"/>
      <c r="M5" s="12" t="n"/>
      <c r="N5" s="12" t="n"/>
      <c r="O5" s="12" t="n"/>
      <c r="P5" s="12" t="n"/>
      <c r="Q5" s="16" t="n"/>
      <c r="R5" s="12" t="n"/>
      <c r="S5" s="18" t="n"/>
      <c r="T5" s="11" t="n"/>
      <c r="U5" s="10" t="n"/>
      <c r="V5" s="10" t="n"/>
      <c r="W5" s="10" t="n"/>
      <c r="X5" s="10" t="n"/>
      <c r="Y5" s="20" t="n"/>
      <c r="Z5" s="21" t="n"/>
      <c r="AA5" s="12" t="n"/>
    </row>
    <row r="6">
      <c r="A6" s="9" t="n">
        <v>1</v>
      </c>
      <c r="B6" s="10" t="inlineStr">
        <is>
          <t>NEW HOI AN</t>
        </is>
      </c>
      <c r="C6" s="10" t="inlineStr">
        <is>
          <t>LV453-B61</t>
        </is>
      </c>
      <c r="D6" s="10" t="inlineStr">
        <is>
          <t>DRESSER 6 DRAWERS</t>
        </is>
      </c>
      <c r="E6" s="10" t="n">
        <v>1500</v>
      </c>
      <c r="F6" s="10" t="n">
        <v>450</v>
      </c>
      <c r="G6" s="10" t="n">
        <v>820</v>
      </c>
      <c r="H6" s="10" t="n">
        <v>1</v>
      </c>
      <c r="I6" s="10" t="inlineStr">
        <is>
          <t>LV453 - B61 - DRESSER 6 DRAWERS.pdf</t>
        </is>
      </c>
      <c r="J6" s="11">
        <f>IF($C6="","",IF(ISERROR(INDIRECT("'"&amp;$C6&amp;"'!C1")),"no tab yet",IF(N(Y6)+N(AA6)=0,"tab empty",IF(N(T6)&gt;0,"check inputs","costed"))))</f>
        <v/>
      </c>
      <c r="K6" s="12">
        <f>IF(OR($J6="",$J6="no tab yet",$J6="tab empty"),"",IFERROR(INDIRECT("'"&amp;$C6&amp;"'!D87")+INDIRECT("'"&amp;$C6&amp;"'!D88"),""))</f>
        <v/>
      </c>
      <c r="L6" s="12">
        <f>IF(OR($J6="",$J6="no tab yet",$J6="tab empty"),"",IFERROR(INDIRECT("'"&amp;$C6&amp;"'!D89")+0,""))</f>
        <v/>
      </c>
      <c r="M6" s="12">
        <f>IF(OR($J6="",$J6="no tab yet",$J6="tab empty"),"",IFERROR(SUM(INDIRECT("'"&amp;$C6&amp;"'!D90:D93")),""))</f>
        <v/>
      </c>
      <c r="N6" s="12">
        <f>IF(OR($J6="",$J6="no tab yet",$J6="tab empty"),"",IFERROR(INDIRECT("'"&amp;$C6&amp;"'!D94")+0,""))</f>
        <v/>
      </c>
      <c r="O6" s="12">
        <f>IF(OR($J6="",$J6="no tab yet",$J6="tab empty"),"",IFERROR(INDIRECT("'"&amp;$C6&amp;"'!D95")+0,""))</f>
        <v/>
      </c>
      <c r="P6" s="12">
        <f>IF(OR($J6="",$J6="no tab yet",$J6="tab empty"),"",IFERROR(INDIRECT("'"&amp;$C6&amp;"'!D97")+INDIRECT("'"&amp;$C6&amp;"'!D98"),""))</f>
        <v/>
      </c>
      <c r="Q6" s="16">
        <f>IF(OR($J6="",$J6="no tab yet",$J6="tab empty"),"",IFERROR(INDIRECT("'"&amp;$C6&amp;"'!D99")+0,""))</f>
        <v/>
      </c>
      <c r="R6" s="12">
        <f>IF(AND(ISNUMBER(H6),ISNUMBER(Q6)),H6*Q6,"")</f>
        <v/>
      </c>
      <c r="S6" s="18">
        <f>IFERROR(INDIRECT("'"&amp;$C6&amp;"'!D86")+0,"")</f>
        <v/>
      </c>
      <c r="T6" s="11">
        <f>IFERROR(INDIRECT("'"&amp;$C6&amp;"'!D102")+0,"")</f>
        <v/>
      </c>
      <c r="U6" s="10" t="n"/>
      <c r="V6" s="10" t="n"/>
      <c r="W6" s="10" t="n"/>
      <c r="X6" s="10" t="n"/>
      <c r="Y6" s="20">
        <f>IFERROR(INDIRECT("'"&amp;$C6&amp;"'!D82")+0,"")</f>
        <v/>
      </c>
      <c r="Z6" s="21">
        <f>IFERROR(INDIRECT("'"&amp;$C6&amp;"'!D84")+0,"")</f>
        <v/>
      </c>
      <c r="AA6" s="12">
        <f>IFERROR(INDIRECT("'"&amp;$C6&amp;"'!D89")+INDIRECT("'"&amp;$C6&amp;"'!D94"),"")</f>
        <v/>
      </c>
    </row>
    <row r="7">
      <c r="A7" s="9" t="n"/>
      <c r="B7" s="10" t="n"/>
      <c r="C7" s="10" t="n"/>
      <c r="D7" s="10" t="n"/>
      <c r="E7" s="10" t="n"/>
      <c r="F7" s="10" t="n"/>
      <c r="G7" s="10" t="n"/>
      <c r="H7" s="10" t="n"/>
      <c r="I7" s="10" t="n"/>
      <c r="J7" s="11" t="n"/>
      <c r="K7" s="12" t="n"/>
      <c r="L7" s="12" t="n"/>
      <c r="M7" s="12" t="n"/>
      <c r="N7" s="12" t="n"/>
      <c r="O7" s="12" t="n"/>
      <c r="P7" s="12" t="n"/>
      <c r="Q7" s="16" t="n"/>
      <c r="R7" s="12" t="n"/>
      <c r="S7" s="18" t="n"/>
      <c r="T7" s="11" t="n"/>
      <c r="U7" s="10" t="n"/>
      <c r="V7" s="10" t="n"/>
      <c r="W7" s="10" t="n"/>
      <c r="X7" s="10" t="n"/>
      <c r="Y7" s="20" t="n"/>
      <c r="Z7" s="21" t="n"/>
      <c r="AA7" s="12" t="n"/>
    </row>
    <row r="8">
      <c r="A8" s="9" t="n"/>
      <c r="B8" s="10" t="n"/>
      <c r="C8" s="10" t="n"/>
      <c r="D8" s="10" t="n"/>
      <c r="E8" s="10" t="n"/>
      <c r="F8" s="10" t="n"/>
      <c r="G8" s="10" t="n"/>
      <c r="H8" s="10" t="n"/>
      <c r="I8" s="10" t="n"/>
      <c r="J8" s="11" t="n"/>
      <c r="K8" s="12" t="n"/>
      <c r="L8" s="12" t="n"/>
      <c r="M8" s="12" t="n"/>
      <c r="N8" s="12" t="n"/>
      <c r="O8" s="12" t="n"/>
      <c r="P8" s="12" t="n"/>
      <c r="Q8" s="16" t="n"/>
      <c r="R8" s="12" t="n"/>
      <c r="S8" s="18" t="n"/>
      <c r="T8" s="11" t="n"/>
      <c r="U8" s="10" t="n"/>
      <c r="V8" s="10" t="n"/>
      <c r="W8" s="10" t="n"/>
      <c r="X8" s="10" t="n"/>
      <c r="Y8" s="20" t="n"/>
      <c r="Z8" s="21" t="n"/>
      <c r="AA8" s="12" t="n"/>
    </row>
    <row r="9">
      <c r="A9" s="9" t="n"/>
      <c r="B9" s="10" t="n"/>
      <c r="C9" s="10" t="n"/>
      <c r="D9" s="10" t="n"/>
      <c r="E9" s="10" t="n"/>
      <c r="F9" s="10" t="n"/>
      <c r="G9" s="10" t="n"/>
      <c r="H9" s="10" t="n"/>
      <c r="I9" s="10" t="n"/>
      <c r="J9" s="11" t="n"/>
      <c r="K9" s="12" t="n"/>
      <c r="L9" s="12" t="n"/>
      <c r="M9" s="12" t="n"/>
      <c r="N9" s="12" t="n"/>
      <c r="O9" s="12" t="n"/>
      <c r="P9" s="12" t="n"/>
      <c r="Q9" s="16" t="n"/>
      <c r="R9" s="12" t="n"/>
      <c r="S9" s="18" t="n"/>
      <c r="T9" s="11" t="n"/>
      <c r="U9" s="10" t="n"/>
      <c r="V9" s="10" t="n"/>
      <c r="W9" s="10" t="n"/>
      <c r="X9" s="10" t="n"/>
      <c r="Y9" s="20" t="n"/>
      <c r="Z9" s="21" t="n"/>
      <c r="AA9" s="12" t="n"/>
    </row>
    <row r="10">
      <c r="A10" s="9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1" t="n"/>
      <c r="K10" s="12" t="n"/>
      <c r="L10" s="12" t="n"/>
      <c r="M10" s="12" t="n"/>
      <c r="N10" s="12" t="n"/>
      <c r="O10" s="12" t="n"/>
      <c r="P10" s="12" t="n"/>
      <c r="Q10" s="16" t="n"/>
      <c r="R10" s="12" t="n"/>
      <c r="S10" s="18" t="n"/>
      <c r="T10" s="11" t="n"/>
      <c r="U10" s="10" t="n"/>
      <c r="V10" s="10" t="n"/>
      <c r="W10" s="10" t="n"/>
      <c r="X10" s="10" t="n"/>
      <c r="Y10" s="20" t="n"/>
      <c r="Z10" s="21" t="n"/>
      <c r="AA10" s="12" t="n"/>
    </row>
    <row r="11">
      <c r="A11" s="9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1" t="n"/>
      <c r="K11" s="12" t="n"/>
      <c r="L11" s="12" t="n"/>
      <c r="M11" s="12" t="n"/>
      <c r="N11" s="12" t="n"/>
      <c r="O11" s="12" t="n"/>
      <c r="P11" s="12" t="n"/>
      <c r="Q11" s="16" t="n"/>
      <c r="R11" s="12" t="n"/>
      <c r="S11" s="18" t="n"/>
      <c r="T11" s="11" t="n"/>
      <c r="U11" s="10" t="n"/>
      <c r="V11" s="10" t="n"/>
      <c r="W11" s="10" t="n"/>
      <c r="X11" s="10" t="n"/>
      <c r="Y11" s="20" t="n"/>
      <c r="Z11" s="21" t="n"/>
      <c r="AA11" s="12" t="n"/>
    </row>
    <row r="12">
      <c r="A12" s="9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1" t="n"/>
      <c r="K12" s="12" t="n"/>
      <c r="L12" s="12" t="n"/>
      <c r="M12" s="12" t="n"/>
      <c r="N12" s="12" t="n"/>
      <c r="O12" s="12" t="n"/>
      <c r="P12" s="12" t="n"/>
      <c r="Q12" s="16" t="n"/>
      <c r="R12" s="12" t="n"/>
      <c r="S12" s="18" t="n"/>
      <c r="T12" s="11" t="n"/>
      <c r="U12" s="10" t="n"/>
      <c r="V12" s="10" t="n"/>
      <c r="W12" s="10" t="n"/>
      <c r="X12" s="10" t="n"/>
      <c r="Y12" s="20" t="n"/>
      <c r="Z12" s="21" t="n"/>
      <c r="AA12" s="12" t="n"/>
    </row>
    <row r="13">
      <c r="A13" s="9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1" t="n"/>
      <c r="K13" s="12" t="n"/>
      <c r="L13" s="12" t="n"/>
      <c r="M13" s="12" t="n"/>
      <c r="N13" s="12" t="n"/>
      <c r="O13" s="12" t="n"/>
      <c r="P13" s="12" t="n"/>
      <c r="Q13" s="16" t="n"/>
      <c r="R13" s="12" t="n"/>
      <c r="S13" s="18" t="n"/>
      <c r="T13" s="11" t="n"/>
      <c r="U13" s="10" t="n"/>
      <c r="V13" s="10" t="n"/>
      <c r="W13" s="10" t="n"/>
      <c r="X13" s="10" t="n"/>
      <c r="Y13" s="20" t="n"/>
      <c r="Z13" s="21" t="n"/>
      <c r="AA13" s="12" t="n"/>
    </row>
    <row r="14">
      <c r="A14" s="9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1" t="n"/>
      <c r="K14" s="12" t="n"/>
      <c r="L14" s="12" t="n"/>
      <c r="M14" s="12" t="n"/>
      <c r="N14" s="12" t="n"/>
      <c r="O14" s="12" t="n"/>
      <c r="P14" s="12" t="n"/>
      <c r="Q14" s="16" t="n"/>
      <c r="R14" s="12" t="n"/>
      <c r="S14" s="18" t="n"/>
      <c r="T14" s="11" t="n"/>
      <c r="U14" s="10" t="n"/>
      <c r="V14" s="10" t="n"/>
      <c r="W14" s="10" t="n"/>
      <c r="X14" s="10" t="n"/>
      <c r="Y14" s="20" t="n"/>
      <c r="Z14" s="21" t="n"/>
      <c r="AA14" s="12" t="n"/>
    </row>
    <row r="15">
      <c r="A15" s="9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1" t="n"/>
      <c r="K15" s="12" t="n"/>
      <c r="L15" s="12" t="n"/>
      <c r="M15" s="12" t="n"/>
      <c r="N15" s="12" t="n"/>
      <c r="O15" s="12" t="n"/>
      <c r="P15" s="12" t="n"/>
      <c r="Q15" s="16" t="n"/>
      <c r="R15" s="12" t="n"/>
      <c r="S15" s="18" t="n"/>
      <c r="T15" s="11" t="n"/>
      <c r="U15" s="10" t="n"/>
      <c r="V15" s="10" t="n"/>
      <c r="W15" s="10" t="n"/>
      <c r="X15" s="10" t="n"/>
      <c r="Y15" s="20" t="n"/>
      <c r="Z15" s="21" t="n"/>
      <c r="AA15" s="12" t="n"/>
    </row>
    <row r="16">
      <c r="A16" s="9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1" t="n"/>
      <c r="K16" s="12" t="n"/>
      <c r="L16" s="12" t="n"/>
      <c r="M16" s="12" t="n"/>
      <c r="N16" s="12" t="n"/>
      <c r="O16" s="12" t="n"/>
      <c r="P16" s="12" t="n"/>
      <c r="Q16" s="16" t="n"/>
      <c r="R16" s="12" t="n"/>
      <c r="S16" s="18" t="n"/>
      <c r="T16" s="11" t="n"/>
      <c r="U16" s="10" t="n"/>
      <c r="V16" s="10" t="n"/>
      <c r="W16" s="10" t="n"/>
      <c r="X16" s="10" t="n"/>
      <c r="Y16" s="20" t="n"/>
      <c r="Z16" s="21" t="n"/>
      <c r="AA16" s="12" t="n"/>
    </row>
    <row r="17">
      <c r="A17" s="9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1" t="n"/>
      <c r="K17" s="12" t="n"/>
      <c r="L17" s="12" t="n"/>
      <c r="M17" s="12" t="n"/>
      <c r="N17" s="12" t="n"/>
      <c r="O17" s="12" t="n"/>
      <c r="P17" s="12" t="n"/>
      <c r="Q17" s="16" t="n"/>
      <c r="R17" s="12" t="n"/>
      <c r="S17" s="18" t="n"/>
      <c r="T17" s="11" t="n"/>
      <c r="U17" s="10" t="n"/>
      <c r="V17" s="10" t="n"/>
      <c r="W17" s="10" t="n"/>
      <c r="X17" s="10" t="n"/>
      <c r="Y17" s="20" t="n"/>
      <c r="Z17" s="21" t="n"/>
      <c r="AA17" s="12" t="n"/>
    </row>
    <row r="18">
      <c r="A18" s="9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1" t="n"/>
      <c r="K18" s="12" t="n"/>
      <c r="L18" s="12" t="n"/>
      <c r="M18" s="12" t="n"/>
      <c r="N18" s="12" t="n"/>
      <c r="O18" s="12" t="n"/>
      <c r="P18" s="12" t="n"/>
      <c r="Q18" s="16" t="n"/>
      <c r="R18" s="12" t="n"/>
      <c r="S18" s="18" t="n"/>
      <c r="T18" s="11" t="n"/>
      <c r="U18" s="10" t="n"/>
      <c r="V18" s="10" t="n"/>
      <c r="W18" s="10" t="n"/>
      <c r="X18" s="10" t="n"/>
      <c r="Y18" s="20" t="n"/>
      <c r="Z18" s="21" t="n"/>
      <c r="AA18" s="12" t="n"/>
    </row>
    <row r="19">
      <c r="A19" s="9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1" t="n"/>
      <c r="K19" s="12" t="n"/>
      <c r="L19" s="12" t="n"/>
      <c r="M19" s="12" t="n"/>
      <c r="N19" s="12" t="n"/>
      <c r="O19" s="12" t="n"/>
      <c r="P19" s="12" t="n"/>
      <c r="Q19" s="16" t="n"/>
      <c r="R19" s="12" t="n"/>
      <c r="S19" s="18" t="n"/>
      <c r="T19" s="11" t="n"/>
      <c r="U19" s="10" t="n"/>
      <c r="V19" s="10" t="n"/>
      <c r="W19" s="10" t="n"/>
      <c r="X19" s="10" t="n"/>
      <c r="Y19" s="20" t="n"/>
      <c r="Z19" s="21" t="n"/>
      <c r="AA19" s="12" t="n"/>
    </row>
    <row r="20">
      <c r="A20" s="9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1" t="n"/>
      <c r="K20" s="12" t="n"/>
      <c r="L20" s="12" t="n"/>
      <c r="M20" s="12" t="n"/>
      <c r="N20" s="12" t="n"/>
      <c r="O20" s="12" t="n"/>
      <c r="P20" s="12" t="n"/>
      <c r="Q20" s="16" t="n"/>
      <c r="R20" s="12" t="n"/>
      <c r="S20" s="18" t="n"/>
      <c r="T20" s="11" t="n"/>
      <c r="U20" s="10" t="n"/>
      <c r="V20" s="10" t="n"/>
      <c r="W20" s="10" t="n"/>
      <c r="X20" s="10" t="n"/>
      <c r="Y20" s="20" t="n"/>
      <c r="Z20" s="21" t="n"/>
      <c r="AA20" s="12" t="n"/>
    </row>
    <row r="21" ht="15.75" customHeight="1" s="59">
      <c r="A21" s="9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1" t="n"/>
      <c r="K21" s="12" t="n"/>
      <c r="L21" s="12" t="n"/>
      <c r="M21" s="12" t="n"/>
      <c r="N21" s="12" t="n"/>
      <c r="O21" s="12" t="n"/>
      <c r="P21" s="12" t="n"/>
      <c r="Q21" s="16" t="n"/>
      <c r="R21" s="12" t="n"/>
      <c r="S21" s="18" t="n"/>
      <c r="T21" s="11" t="n"/>
      <c r="U21" s="10" t="n"/>
      <c r="V21" s="10" t="n"/>
      <c r="W21" s="10" t="n"/>
      <c r="X21" s="10" t="n"/>
      <c r="Y21" s="20" t="n"/>
      <c r="Z21" s="21" t="n"/>
      <c r="AA21" s="12" t="n"/>
    </row>
    <row r="22" ht="15.75" customHeight="1" s="59">
      <c r="A22" s="4" t="n"/>
      <c r="B22" s="3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</row>
    <row r="23" ht="15.75" customHeight="1" s="59">
      <c r="A23" s="9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1" t="n"/>
      <c r="K23" s="12" t="n"/>
      <c r="L23" s="12" t="n"/>
      <c r="M23" s="12" t="n"/>
      <c r="N23" s="12" t="n"/>
      <c r="O23" s="12" t="n"/>
      <c r="P23" s="12" t="n"/>
      <c r="Q23" s="16" t="n"/>
      <c r="R23" s="12" t="n"/>
      <c r="S23" s="18" t="n"/>
      <c r="T23" s="11" t="n"/>
      <c r="U23" s="10" t="n"/>
      <c r="V23" s="10" t="n"/>
      <c r="W23" s="10" t="n"/>
      <c r="X23" s="10" t="n"/>
      <c r="Y23" s="20" t="n"/>
      <c r="Z23" s="21" t="n"/>
      <c r="AA23" s="12" t="n"/>
    </row>
    <row r="24" ht="15.75" customHeight="1" s="59">
      <c r="A24" s="9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1" t="n"/>
      <c r="K24" s="12" t="n"/>
      <c r="L24" s="12" t="n"/>
      <c r="M24" s="12" t="n"/>
      <c r="N24" s="12" t="n"/>
      <c r="O24" s="12" t="n"/>
      <c r="P24" s="12" t="n"/>
      <c r="Q24" s="16" t="n"/>
      <c r="R24" s="12" t="n"/>
      <c r="S24" s="18" t="n"/>
      <c r="T24" s="11" t="n"/>
      <c r="U24" s="10" t="n"/>
      <c r="V24" s="10" t="n"/>
      <c r="W24" s="10" t="n"/>
      <c r="X24" s="10" t="n"/>
      <c r="Y24" s="20" t="n"/>
      <c r="Z24" s="21" t="n"/>
      <c r="AA24" s="12" t="n"/>
    </row>
    <row r="25" ht="15.75" customHeight="1" s="59">
      <c r="A25" s="9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1" t="n"/>
      <c r="K25" s="12" t="n"/>
      <c r="L25" s="12" t="n"/>
      <c r="M25" s="12" t="n"/>
      <c r="N25" s="12" t="n"/>
      <c r="O25" s="12" t="n"/>
      <c r="P25" s="12" t="n"/>
      <c r="Q25" s="16" t="n"/>
      <c r="R25" s="12" t="n"/>
      <c r="S25" s="18" t="n"/>
      <c r="T25" s="11" t="n"/>
      <c r="U25" s="10" t="n"/>
      <c r="V25" s="10" t="n"/>
      <c r="W25" s="10" t="n"/>
      <c r="X25" s="10" t="n"/>
      <c r="Y25" s="20" t="n"/>
      <c r="Z25" s="21" t="n"/>
      <c r="AA25" s="12" t="n"/>
    </row>
    <row r="26" ht="15.75" customHeight="1" s="59">
      <c r="A26" s="9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1" t="n"/>
      <c r="K26" s="12" t="n"/>
      <c r="L26" s="12" t="n"/>
      <c r="M26" s="12" t="n"/>
      <c r="N26" s="12" t="n"/>
      <c r="O26" s="12" t="n"/>
      <c r="P26" s="12" t="n"/>
      <c r="Q26" s="16" t="n"/>
      <c r="R26" s="12" t="n"/>
      <c r="S26" s="18" t="n"/>
      <c r="T26" s="11" t="n"/>
      <c r="U26" s="10" t="n"/>
      <c r="V26" s="10" t="n"/>
      <c r="W26" s="10" t="n"/>
      <c r="X26" s="10" t="n"/>
      <c r="Y26" s="20" t="n"/>
      <c r="Z26" s="21" t="n"/>
      <c r="AA26" s="12" t="n"/>
    </row>
    <row r="27" ht="15.75" customHeight="1" s="59">
      <c r="A27" s="9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1" t="n"/>
      <c r="K27" s="12" t="n"/>
      <c r="L27" s="12" t="n"/>
      <c r="M27" s="12" t="n"/>
      <c r="N27" s="12" t="n"/>
      <c r="O27" s="12" t="n"/>
      <c r="P27" s="12" t="n"/>
      <c r="Q27" s="16" t="n"/>
      <c r="R27" s="12" t="n"/>
      <c r="S27" s="18" t="n"/>
      <c r="T27" s="11" t="n"/>
      <c r="U27" s="10" t="n"/>
      <c r="V27" s="10" t="n"/>
      <c r="W27" s="10" t="n"/>
      <c r="X27" s="10" t="n"/>
      <c r="Y27" s="20" t="n"/>
      <c r="Z27" s="21" t="n"/>
      <c r="AA27" s="12" t="n"/>
    </row>
    <row r="28" ht="15.75" customHeight="1" s="59">
      <c r="A28" s="9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1" t="n"/>
      <c r="K28" s="12" t="n"/>
      <c r="L28" s="12" t="n"/>
      <c r="M28" s="12" t="n"/>
      <c r="N28" s="12" t="n"/>
      <c r="O28" s="12" t="n"/>
      <c r="P28" s="12" t="n"/>
      <c r="Q28" s="16" t="n"/>
      <c r="R28" s="12" t="n"/>
      <c r="S28" s="18" t="n"/>
      <c r="T28" s="11" t="n"/>
      <c r="U28" s="10" t="n"/>
      <c r="V28" s="10" t="n"/>
      <c r="W28" s="10" t="n"/>
      <c r="X28" s="10" t="n"/>
      <c r="Y28" s="20" t="n"/>
      <c r="Z28" s="21" t="n"/>
      <c r="AA28" s="12" t="n"/>
    </row>
    <row r="29" ht="15.75" customHeight="1" s="59">
      <c r="A29" s="4" t="n"/>
      <c r="B29" s="3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</row>
    <row r="30" ht="15.75" customHeight="1" s="59">
      <c r="A30" s="9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1">
        <f>IF($C30="","",IF(ISERROR(INDIRECT("'"&amp;$C30&amp;"'!C1")),"no tab yet",IF(N(Y30)+N(AA30)=0,"tab empty",IF(N(T30)&gt;0,"check inputs","costed"))))</f>
        <v/>
      </c>
      <c r="K30" s="12">
        <f>IF(OR($J30="",$J30="no tab yet",$J30="tab empty"),"",IFERROR(INDIRECT("'"&amp;$C30&amp;"'!D87")+INDIRECT("'"&amp;$C30&amp;"'!D88"),""))</f>
        <v/>
      </c>
      <c r="L30" s="12">
        <f>IF(OR($J30="",$J30="no tab yet",$J30="tab empty"),"",IFERROR(INDIRECT("'"&amp;$C30&amp;"'!D89")+0,""))</f>
        <v/>
      </c>
      <c r="M30" s="12">
        <f>IF(OR($J30="",$J30="no tab yet",$J30="tab empty"),"",IFERROR(SUM(INDIRECT("'"&amp;$C30&amp;"'!D90:D93")),""))</f>
        <v/>
      </c>
      <c r="N30" s="12">
        <f>IF(OR($J30="",$J30="no tab yet",$J30="tab empty"),"",IFERROR(INDIRECT("'"&amp;$C30&amp;"'!D94")+0,""))</f>
        <v/>
      </c>
      <c r="O30" s="12">
        <f>IF(OR($J30="",$J30="no tab yet",$J30="tab empty"),"",IFERROR(INDIRECT("'"&amp;$C30&amp;"'!D95")+0,""))</f>
        <v/>
      </c>
      <c r="P30" s="12">
        <f>IF(OR($J30="",$J30="no tab yet",$J30="tab empty"),"",IFERROR(INDIRECT("'"&amp;$C30&amp;"'!D97")+INDIRECT("'"&amp;$C30&amp;"'!D98"),""))</f>
        <v/>
      </c>
      <c r="Q30" s="16">
        <f>IF(OR($J30="",$J30="no tab yet",$J30="tab empty"),"",IFERROR(INDIRECT("'"&amp;$C30&amp;"'!D99")+0,""))</f>
        <v/>
      </c>
      <c r="R30" s="12">
        <f>IF(AND(ISNUMBER(H30),ISNUMBER(Q30)),H30*Q30,"")</f>
        <v/>
      </c>
      <c r="S30" s="18">
        <f>IFERROR(INDIRECT("'"&amp;$C30&amp;"'!D86")+0,"")</f>
        <v/>
      </c>
      <c r="T30" s="11">
        <f>IFERROR(INDIRECT("'"&amp;$C30&amp;"'!D102")+0,"")</f>
        <v/>
      </c>
      <c r="U30" s="10" t="n"/>
      <c r="V30" s="10" t="n"/>
      <c r="W30" s="10" t="n"/>
      <c r="X30" s="10" t="n"/>
      <c r="Y30" s="20">
        <f>IFERROR(INDIRECT("'"&amp;$C30&amp;"'!D82")+0,"")</f>
        <v/>
      </c>
      <c r="Z30" s="21">
        <f>IFERROR(INDIRECT("'"&amp;$C30&amp;"'!D84")+0,"")</f>
        <v/>
      </c>
      <c r="AA30" s="12">
        <f>IFERROR(INDIRECT("'"&amp;$C30&amp;"'!D89")+INDIRECT("'"&amp;$C30&amp;"'!D94"),"")</f>
        <v/>
      </c>
    </row>
    <row r="31" ht="15.75" customHeight="1" s="59">
      <c r="A31" s="9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1">
        <f>IF($C31="","",IF(ISERROR(INDIRECT("'"&amp;$C31&amp;"'!C1")),"no tab yet",IF(N(Y31)+N(AA31)=0,"tab empty",IF(N(T31)&gt;0,"check inputs","costed"))))</f>
        <v/>
      </c>
      <c r="K31" s="12">
        <f>IF(OR($J31="",$J31="no tab yet",$J31="tab empty"),"",IFERROR(INDIRECT("'"&amp;$C31&amp;"'!D87")+INDIRECT("'"&amp;$C31&amp;"'!D88"),""))</f>
        <v/>
      </c>
      <c r="L31" s="12">
        <f>IF(OR($J31="",$J31="no tab yet",$J31="tab empty"),"",IFERROR(INDIRECT("'"&amp;$C31&amp;"'!D89")+0,""))</f>
        <v/>
      </c>
      <c r="M31" s="12">
        <f>IF(OR($J31="",$J31="no tab yet",$J31="tab empty"),"",IFERROR(SUM(INDIRECT("'"&amp;$C31&amp;"'!D90:D93")),""))</f>
        <v/>
      </c>
      <c r="N31" s="12">
        <f>IF(OR($J31="",$J31="no tab yet",$J31="tab empty"),"",IFERROR(INDIRECT("'"&amp;$C31&amp;"'!D94")+0,""))</f>
        <v/>
      </c>
      <c r="O31" s="12">
        <f>IF(OR($J31="",$J31="no tab yet",$J31="tab empty"),"",IFERROR(INDIRECT("'"&amp;$C31&amp;"'!D95")+0,""))</f>
        <v/>
      </c>
      <c r="P31" s="12">
        <f>IF(OR($J31="",$J31="no tab yet",$J31="tab empty"),"",IFERROR(INDIRECT("'"&amp;$C31&amp;"'!D97")+INDIRECT("'"&amp;$C31&amp;"'!D98"),""))</f>
        <v/>
      </c>
      <c r="Q31" s="16">
        <f>IF(OR($J31="",$J31="no tab yet",$J31="tab empty"),"",IFERROR(INDIRECT("'"&amp;$C31&amp;"'!D99")+0,""))</f>
        <v/>
      </c>
      <c r="R31" s="12">
        <f>IF(AND(ISNUMBER(H31),ISNUMBER(Q31)),H31*Q31,"")</f>
        <v/>
      </c>
      <c r="S31" s="18">
        <f>IFERROR(INDIRECT("'"&amp;$C31&amp;"'!D86")+0,"")</f>
        <v/>
      </c>
      <c r="T31" s="11">
        <f>IFERROR(INDIRECT("'"&amp;$C31&amp;"'!D102")+0,"")</f>
        <v/>
      </c>
      <c r="U31" s="10" t="n"/>
      <c r="V31" s="10" t="n"/>
      <c r="W31" s="10" t="n"/>
      <c r="X31" s="10" t="n"/>
      <c r="Y31" s="20">
        <f>IFERROR(INDIRECT("'"&amp;$C31&amp;"'!D82")+0,"")</f>
        <v/>
      </c>
      <c r="Z31" s="21">
        <f>IFERROR(INDIRECT("'"&amp;$C31&amp;"'!D84")+0,"")</f>
        <v/>
      </c>
      <c r="AA31" s="12">
        <f>IFERROR(INDIRECT("'"&amp;$C31&amp;"'!D89")+INDIRECT("'"&amp;$C31&amp;"'!D94"),"")</f>
        <v/>
      </c>
    </row>
    <row r="32" ht="15.75" customHeight="1" s="59">
      <c r="A32" s="9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1">
        <f>IF($C32="","",IF(ISERROR(INDIRECT("'"&amp;$C32&amp;"'!C1")),"no tab yet",IF(N(Y32)+N(AA32)=0,"tab empty",IF(N(T32)&gt;0,"check inputs","costed"))))</f>
        <v/>
      </c>
      <c r="K32" s="12">
        <f>IF(OR($J32="",$J32="no tab yet",$J32="tab empty"),"",IFERROR(INDIRECT("'"&amp;$C32&amp;"'!D87")+INDIRECT("'"&amp;$C32&amp;"'!D88"),""))</f>
        <v/>
      </c>
      <c r="L32" s="12">
        <f>IF(OR($J32="",$J32="no tab yet",$J32="tab empty"),"",IFERROR(INDIRECT("'"&amp;$C32&amp;"'!D89")+0,""))</f>
        <v/>
      </c>
      <c r="M32" s="12">
        <f>IF(OR($J32="",$J32="no tab yet",$J32="tab empty"),"",IFERROR(SUM(INDIRECT("'"&amp;$C32&amp;"'!D90:D93")),""))</f>
        <v/>
      </c>
      <c r="N32" s="12">
        <f>IF(OR($J32="",$J32="no tab yet",$J32="tab empty"),"",IFERROR(INDIRECT("'"&amp;$C32&amp;"'!D94")+0,""))</f>
        <v/>
      </c>
      <c r="O32" s="12">
        <f>IF(OR($J32="",$J32="no tab yet",$J32="tab empty"),"",IFERROR(INDIRECT("'"&amp;$C32&amp;"'!D95")+0,""))</f>
        <v/>
      </c>
      <c r="P32" s="12">
        <f>IF(OR($J32="",$J32="no tab yet",$J32="tab empty"),"",IFERROR(INDIRECT("'"&amp;$C32&amp;"'!D97")+INDIRECT("'"&amp;$C32&amp;"'!D98"),""))</f>
        <v/>
      </c>
      <c r="Q32" s="16">
        <f>IF(OR($J32="",$J32="no tab yet",$J32="tab empty"),"",IFERROR(INDIRECT("'"&amp;$C32&amp;"'!D99")+0,""))</f>
        <v/>
      </c>
      <c r="R32" s="12">
        <f>IF(AND(ISNUMBER(H32),ISNUMBER(Q32)),H32*Q32,"")</f>
        <v/>
      </c>
      <c r="S32" s="18">
        <f>IFERROR(INDIRECT("'"&amp;$C32&amp;"'!D86")+0,"")</f>
        <v/>
      </c>
      <c r="T32" s="11">
        <f>IFERROR(INDIRECT("'"&amp;$C32&amp;"'!D102")+0,"")</f>
        <v/>
      </c>
      <c r="U32" s="10" t="n"/>
      <c r="V32" s="10" t="n"/>
      <c r="W32" s="10" t="n"/>
      <c r="X32" s="10" t="n"/>
      <c r="Y32" s="20">
        <f>IFERROR(INDIRECT("'"&amp;$C32&amp;"'!D82")+0,"")</f>
        <v/>
      </c>
      <c r="Z32" s="21">
        <f>IFERROR(INDIRECT("'"&amp;$C32&amp;"'!D84")+0,"")</f>
        <v/>
      </c>
      <c r="AA32" s="12">
        <f>IFERROR(INDIRECT("'"&amp;$C32&amp;"'!D89")+INDIRECT("'"&amp;$C32&amp;"'!D94"),"")</f>
        <v/>
      </c>
    </row>
    <row r="33" ht="15.75" customHeight="1" s="59">
      <c r="A33" s="9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1">
        <f>IF($C33="","",IF(ISERROR(INDIRECT("'"&amp;$C33&amp;"'!C1")),"no tab yet",IF(N(Y33)+N(AA33)=0,"tab empty",IF(N(T33)&gt;0,"check inputs","costed"))))</f>
        <v/>
      </c>
      <c r="K33" s="12">
        <f>IF(OR($J33="",$J33="no tab yet",$J33="tab empty"),"",IFERROR(INDIRECT("'"&amp;$C33&amp;"'!D87")+INDIRECT("'"&amp;$C33&amp;"'!D88"),""))</f>
        <v/>
      </c>
      <c r="L33" s="12">
        <f>IF(OR($J33="",$J33="no tab yet",$J33="tab empty"),"",IFERROR(INDIRECT("'"&amp;$C33&amp;"'!D89")+0,""))</f>
        <v/>
      </c>
      <c r="M33" s="12">
        <f>IF(OR($J33="",$J33="no tab yet",$J33="tab empty"),"",IFERROR(SUM(INDIRECT("'"&amp;$C33&amp;"'!D90:D93")),""))</f>
        <v/>
      </c>
      <c r="N33" s="12">
        <f>IF(OR($J33="",$J33="no tab yet",$J33="tab empty"),"",IFERROR(INDIRECT("'"&amp;$C33&amp;"'!D94")+0,""))</f>
        <v/>
      </c>
      <c r="O33" s="12">
        <f>IF(OR($J33="",$J33="no tab yet",$J33="tab empty"),"",IFERROR(INDIRECT("'"&amp;$C33&amp;"'!D95")+0,""))</f>
        <v/>
      </c>
      <c r="P33" s="12">
        <f>IF(OR($J33="",$J33="no tab yet",$J33="tab empty"),"",IFERROR(INDIRECT("'"&amp;$C33&amp;"'!D97")+INDIRECT("'"&amp;$C33&amp;"'!D98"),""))</f>
        <v/>
      </c>
      <c r="Q33" s="16">
        <f>IF(OR($J33="",$J33="no tab yet",$J33="tab empty"),"",IFERROR(INDIRECT("'"&amp;$C33&amp;"'!D99")+0,""))</f>
        <v/>
      </c>
      <c r="R33" s="12">
        <f>IF(AND(ISNUMBER(H33),ISNUMBER(Q33)),H33*Q33,"")</f>
        <v/>
      </c>
      <c r="S33" s="18">
        <f>IFERROR(INDIRECT("'"&amp;$C33&amp;"'!D86")+0,"")</f>
        <v/>
      </c>
      <c r="T33" s="11">
        <f>IFERROR(INDIRECT("'"&amp;$C33&amp;"'!D102")+0,"")</f>
        <v/>
      </c>
      <c r="U33" s="10" t="n"/>
      <c r="V33" s="10" t="n"/>
      <c r="W33" s="10" t="n"/>
      <c r="X33" s="10" t="n"/>
      <c r="Y33" s="20">
        <f>IFERROR(INDIRECT("'"&amp;$C33&amp;"'!D82")+0,"")</f>
        <v/>
      </c>
      <c r="Z33" s="21">
        <f>IFERROR(INDIRECT("'"&amp;$C33&amp;"'!D84")+0,"")</f>
        <v/>
      </c>
      <c r="AA33" s="12">
        <f>IFERROR(INDIRECT("'"&amp;$C33&amp;"'!D89")+INDIRECT("'"&amp;$C33&amp;"'!D94"),"")</f>
        <v/>
      </c>
    </row>
    <row r="34" ht="15.75" customHeight="1" s="59">
      <c r="A34" s="9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1">
        <f>IF($C34="","",IF(ISERROR(INDIRECT("'"&amp;$C34&amp;"'!C1")),"no tab yet",IF(N(Y34)+N(AA34)=0,"tab empty",IF(N(T34)&gt;0,"check inputs","costed"))))</f>
        <v/>
      </c>
      <c r="K34" s="12">
        <f>IF(OR($J34="",$J34="no tab yet",$J34="tab empty"),"",IFERROR(INDIRECT("'"&amp;$C34&amp;"'!D87")+INDIRECT("'"&amp;$C34&amp;"'!D88"),""))</f>
        <v/>
      </c>
      <c r="L34" s="12">
        <f>IF(OR($J34="",$J34="no tab yet",$J34="tab empty"),"",IFERROR(INDIRECT("'"&amp;$C34&amp;"'!D89")+0,""))</f>
        <v/>
      </c>
      <c r="M34" s="12">
        <f>IF(OR($J34="",$J34="no tab yet",$J34="tab empty"),"",IFERROR(SUM(INDIRECT("'"&amp;$C34&amp;"'!D90:D93")),""))</f>
        <v/>
      </c>
      <c r="N34" s="12">
        <f>IF(OR($J34="",$J34="no tab yet",$J34="tab empty"),"",IFERROR(INDIRECT("'"&amp;$C34&amp;"'!D94")+0,""))</f>
        <v/>
      </c>
      <c r="O34" s="12">
        <f>IF(OR($J34="",$J34="no tab yet",$J34="tab empty"),"",IFERROR(INDIRECT("'"&amp;$C34&amp;"'!D95")+0,""))</f>
        <v/>
      </c>
      <c r="P34" s="12">
        <f>IF(OR($J34="",$J34="no tab yet",$J34="tab empty"),"",IFERROR(INDIRECT("'"&amp;$C34&amp;"'!D97")+INDIRECT("'"&amp;$C34&amp;"'!D98"),""))</f>
        <v/>
      </c>
      <c r="Q34" s="16">
        <f>IF(OR($J34="",$J34="no tab yet",$J34="tab empty"),"",IFERROR(INDIRECT("'"&amp;$C34&amp;"'!D99")+0,""))</f>
        <v/>
      </c>
      <c r="R34" s="12">
        <f>IF(AND(ISNUMBER(H34),ISNUMBER(Q34)),H34*Q34,"")</f>
        <v/>
      </c>
      <c r="S34" s="18">
        <f>IFERROR(INDIRECT("'"&amp;$C34&amp;"'!D86")+0,"")</f>
        <v/>
      </c>
      <c r="T34" s="11">
        <f>IFERROR(INDIRECT("'"&amp;$C34&amp;"'!D102")+0,"")</f>
        <v/>
      </c>
      <c r="U34" s="10" t="n"/>
      <c r="V34" s="10" t="n"/>
      <c r="W34" s="10" t="n"/>
      <c r="X34" s="10" t="n"/>
      <c r="Y34" s="20">
        <f>IFERROR(INDIRECT("'"&amp;$C34&amp;"'!D82")+0,"")</f>
        <v/>
      </c>
      <c r="Z34" s="21">
        <f>IFERROR(INDIRECT("'"&amp;$C34&amp;"'!D84")+0,"")</f>
        <v/>
      </c>
      <c r="AA34" s="12">
        <f>IFERROR(INDIRECT("'"&amp;$C34&amp;"'!D89")+INDIRECT("'"&amp;$C34&amp;"'!D94"),"")</f>
        <v/>
      </c>
    </row>
    <row r="35" ht="15.75" customHeight="1" s="59">
      <c r="A35" s="9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1">
        <f>IF($C35="","",IF(ISERROR(INDIRECT("'"&amp;$C35&amp;"'!C1")),"no tab yet",IF(N(Y35)+N(AA35)=0,"tab empty",IF(N(T35)&gt;0,"check inputs","costed"))))</f>
        <v/>
      </c>
      <c r="K35" s="12">
        <f>IF(OR($J35="",$J35="no tab yet",$J35="tab empty"),"",IFERROR(INDIRECT("'"&amp;$C35&amp;"'!D87")+INDIRECT("'"&amp;$C35&amp;"'!D88"),""))</f>
        <v/>
      </c>
      <c r="L35" s="12">
        <f>IF(OR($J35="",$J35="no tab yet",$J35="tab empty"),"",IFERROR(INDIRECT("'"&amp;$C35&amp;"'!D89")+0,""))</f>
        <v/>
      </c>
      <c r="M35" s="12">
        <f>IF(OR($J35="",$J35="no tab yet",$J35="tab empty"),"",IFERROR(SUM(INDIRECT("'"&amp;$C35&amp;"'!D90:D93")),""))</f>
        <v/>
      </c>
      <c r="N35" s="12">
        <f>IF(OR($J35="",$J35="no tab yet",$J35="tab empty"),"",IFERROR(INDIRECT("'"&amp;$C35&amp;"'!D94")+0,""))</f>
        <v/>
      </c>
      <c r="O35" s="12">
        <f>IF(OR($J35="",$J35="no tab yet",$J35="tab empty"),"",IFERROR(INDIRECT("'"&amp;$C35&amp;"'!D95")+0,""))</f>
        <v/>
      </c>
      <c r="P35" s="12">
        <f>IF(OR($J35="",$J35="no tab yet",$J35="tab empty"),"",IFERROR(INDIRECT("'"&amp;$C35&amp;"'!D97")+INDIRECT("'"&amp;$C35&amp;"'!D98"),""))</f>
        <v/>
      </c>
      <c r="Q35" s="16">
        <f>IF(OR($J35="",$J35="no tab yet",$J35="tab empty"),"",IFERROR(INDIRECT("'"&amp;$C35&amp;"'!D99")+0,""))</f>
        <v/>
      </c>
      <c r="R35" s="12">
        <f>IF(AND(ISNUMBER(H35),ISNUMBER(Q35)),H35*Q35,"")</f>
        <v/>
      </c>
      <c r="S35" s="18">
        <f>IFERROR(INDIRECT("'"&amp;$C35&amp;"'!D86")+0,"")</f>
        <v/>
      </c>
      <c r="T35" s="11">
        <f>IFERROR(INDIRECT("'"&amp;$C35&amp;"'!D102")+0,"")</f>
        <v/>
      </c>
      <c r="U35" s="10" t="n"/>
      <c r="V35" s="10" t="n"/>
      <c r="W35" s="10" t="n"/>
      <c r="X35" s="10" t="n"/>
      <c r="Y35" s="20">
        <f>IFERROR(INDIRECT("'"&amp;$C35&amp;"'!D82")+0,"")</f>
        <v/>
      </c>
      <c r="Z35" s="21">
        <f>IFERROR(INDIRECT("'"&amp;$C35&amp;"'!D84")+0,"")</f>
        <v/>
      </c>
      <c r="AA35" s="12">
        <f>IFERROR(INDIRECT("'"&amp;$C35&amp;"'!D89")+INDIRECT("'"&amp;$C35&amp;"'!D94"),"")</f>
        <v/>
      </c>
    </row>
    <row r="36" ht="15.75" customHeight="1" s="59">
      <c r="A36" s="9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1">
        <f>IF($C36="","",IF(ISERROR(INDIRECT("'"&amp;$C36&amp;"'!C1")),"no tab yet",IF(N(Y36)+N(AA36)=0,"tab empty",IF(N(T36)&gt;0,"check inputs","costed"))))</f>
        <v/>
      </c>
      <c r="K36" s="12">
        <f>IF(OR($J36="",$J36="no tab yet",$J36="tab empty"),"",IFERROR(INDIRECT("'"&amp;$C36&amp;"'!D87")+INDIRECT("'"&amp;$C36&amp;"'!D88"),""))</f>
        <v/>
      </c>
      <c r="L36" s="12">
        <f>IF(OR($J36="",$J36="no tab yet",$J36="tab empty"),"",IFERROR(INDIRECT("'"&amp;$C36&amp;"'!D89")+0,""))</f>
        <v/>
      </c>
      <c r="M36" s="12">
        <f>IF(OR($J36="",$J36="no tab yet",$J36="tab empty"),"",IFERROR(SUM(INDIRECT("'"&amp;$C36&amp;"'!D90:D93")),""))</f>
        <v/>
      </c>
      <c r="N36" s="12">
        <f>IF(OR($J36="",$J36="no tab yet",$J36="tab empty"),"",IFERROR(INDIRECT("'"&amp;$C36&amp;"'!D94")+0,""))</f>
        <v/>
      </c>
      <c r="O36" s="12">
        <f>IF(OR($J36="",$J36="no tab yet",$J36="tab empty"),"",IFERROR(INDIRECT("'"&amp;$C36&amp;"'!D95")+0,""))</f>
        <v/>
      </c>
      <c r="P36" s="12">
        <f>IF(OR($J36="",$J36="no tab yet",$J36="tab empty"),"",IFERROR(INDIRECT("'"&amp;$C36&amp;"'!D97")+INDIRECT("'"&amp;$C36&amp;"'!D98"),""))</f>
        <v/>
      </c>
      <c r="Q36" s="16">
        <f>IF(OR($J36="",$J36="no tab yet",$J36="tab empty"),"",IFERROR(INDIRECT("'"&amp;$C36&amp;"'!D99")+0,""))</f>
        <v/>
      </c>
      <c r="R36" s="12">
        <f>IF(AND(ISNUMBER(H36),ISNUMBER(Q36)),H36*Q36,"")</f>
        <v/>
      </c>
      <c r="S36" s="18">
        <f>IFERROR(INDIRECT("'"&amp;$C36&amp;"'!D86")+0,"")</f>
        <v/>
      </c>
      <c r="T36" s="11">
        <f>IFERROR(INDIRECT("'"&amp;$C36&amp;"'!D102")+0,"")</f>
        <v/>
      </c>
      <c r="U36" s="10" t="n"/>
      <c r="V36" s="10" t="n"/>
      <c r="W36" s="10" t="n"/>
      <c r="X36" s="10" t="n"/>
      <c r="Y36" s="20">
        <f>IFERROR(INDIRECT("'"&amp;$C36&amp;"'!D82")+0,"")</f>
        <v/>
      </c>
      <c r="Z36" s="21">
        <f>IFERROR(INDIRECT("'"&amp;$C36&amp;"'!D84")+0,"")</f>
        <v/>
      </c>
      <c r="AA36" s="12">
        <f>IFERROR(INDIRECT("'"&amp;$C36&amp;"'!D89")+INDIRECT("'"&amp;$C36&amp;"'!D94"),"")</f>
        <v/>
      </c>
    </row>
    <row r="37" ht="15.75" customHeight="1" s="59">
      <c r="A37" s="9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1">
        <f>IF($C37="","",IF(ISERROR(INDIRECT("'"&amp;$C37&amp;"'!C1")),"no tab yet",IF(N(Y37)+N(AA37)=0,"tab empty",IF(N(T37)&gt;0,"check inputs","costed"))))</f>
        <v/>
      </c>
      <c r="K37" s="12">
        <f>IF(OR($J37="",$J37="no tab yet",$J37="tab empty"),"",IFERROR(INDIRECT("'"&amp;$C37&amp;"'!D87")+INDIRECT("'"&amp;$C37&amp;"'!D88"),""))</f>
        <v/>
      </c>
      <c r="L37" s="12">
        <f>IF(OR($J37="",$J37="no tab yet",$J37="tab empty"),"",IFERROR(INDIRECT("'"&amp;$C37&amp;"'!D89")+0,""))</f>
        <v/>
      </c>
      <c r="M37" s="12">
        <f>IF(OR($J37="",$J37="no tab yet",$J37="tab empty"),"",IFERROR(SUM(INDIRECT("'"&amp;$C37&amp;"'!D90:D93")),""))</f>
        <v/>
      </c>
      <c r="N37" s="12">
        <f>IF(OR($J37="",$J37="no tab yet",$J37="tab empty"),"",IFERROR(INDIRECT("'"&amp;$C37&amp;"'!D94")+0,""))</f>
        <v/>
      </c>
      <c r="O37" s="12">
        <f>IF(OR($J37="",$J37="no tab yet",$J37="tab empty"),"",IFERROR(INDIRECT("'"&amp;$C37&amp;"'!D95")+0,""))</f>
        <v/>
      </c>
      <c r="P37" s="12">
        <f>IF(OR($J37="",$J37="no tab yet",$J37="tab empty"),"",IFERROR(INDIRECT("'"&amp;$C37&amp;"'!D97")+INDIRECT("'"&amp;$C37&amp;"'!D98"),""))</f>
        <v/>
      </c>
      <c r="Q37" s="16">
        <f>IF(OR($J37="",$J37="no tab yet",$J37="tab empty"),"",IFERROR(INDIRECT("'"&amp;$C37&amp;"'!D99")+0,""))</f>
        <v/>
      </c>
      <c r="R37" s="12">
        <f>IF(AND(ISNUMBER(H37),ISNUMBER(Q37)),H37*Q37,"")</f>
        <v/>
      </c>
      <c r="S37" s="18">
        <f>IFERROR(INDIRECT("'"&amp;$C37&amp;"'!D86")+0,"")</f>
        <v/>
      </c>
      <c r="T37" s="11">
        <f>IFERROR(INDIRECT("'"&amp;$C37&amp;"'!D102")+0,"")</f>
        <v/>
      </c>
      <c r="U37" s="10" t="n"/>
      <c r="V37" s="10" t="n"/>
      <c r="W37" s="10" t="n"/>
      <c r="X37" s="10" t="n"/>
      <c r="Y37" s="20">
        <f>IFERROR(INDIRECT("'"&amp;$C37&amp;"'!D82")+0,"")</f>
        <v/>
      </c>
      <c r="Z37" s="21">
        <f>IFERROR(INDIRECT("'"&amp;$C37&amp;"'!D84")+0,"")</f>
        <v/>
      </c>
      <c r="AA37" s="12">
        <f>IFERROR(INDIRECT("'"&amp;$C37&amp;"'!D89")+INDIRECT("'"&amp;$C37&amp;"'!D94"),"")</f>
        <v/>
      </c>
    </row>
    <row r="38" ht="15.75" customHeight="1" s="59">
      <c r="A38" s="9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1">
        <f>IF($C38="","",IF(ISERROR(INDIRECT("'"&amp;$C38&amp;"'!C1")),"no tab yet",IF(N(Y38)+N(AA38)=0,"tab empty",IF(N(T38)&gt;0,"check inputs","costed"))))</f>
        <v/>
      </c>
      <c r="K38" s="12">
        <f>IF(OR($J38="",$J38="no tab yet",$J38="tab empty"),"",IFERROR(INDIRECT("'"&amp;$C38&amp;"'!D87")+INDIRECT("'"&amp;$C38&amp;"'!D88"),""))</f>
        <v/>
      </c>
      <c r="L38" s="12">
        <f>IF(OR($J38="",$J38="no tab yet",$J38="tab empty"),"",IFERROR(INDIRECT("'"&amp;$C38&amp;"'!D89")+0,""))</f>
        <v/>
      </c>
      <c r="M38" s="12">
        <f>IF(OR($J38="",$J38="no tab yet",$J38="tab empty"),"",IFERROR(SUM(INDIRECT("'"&amp;$C38&amp;"'!D90:D93")),""))</f>
        <v/>
      </c>
      <c r="N38" s="12">
        <f>IF(OR($J38="",$J38="no tab yet",$J38="tab empty"),"",IFERROR(INDIRECT("'"&amp;$C38&amp;"'!D94")+0,""))</f>
        <v/>
      </c>
      <c r="O38" s="12">
        <f>IF(OR($J38="",$J38="no tab yet",$J38="tab empty"),"",IFERROR(INDIRECT("'"&amp;$C38&amp;"'!D95")+0,""))</f>
        <v/>
      </c>
      <c r="P38" s="12">
        <f>IF(OR($J38="",$J38="no tab yet",$J38="tab empty"),"",IFERROR(INDIRECT("'"&amp;$C38&amp;"'!D97")+INDIRECT("'"&amp;$C38&amp;"'!D98"),""))</f>
        <v/>
      </c>
      <c r="Q38" s="16">
        <f>IF(OR($J38="",$J38="no tab yet",$J38="tab empty"),"",IFERROR(INDIRECT("'"&amp;$C38&amp;"'!D99")+0,""))</f>
        <v/>
      </c>
      <c r="R38" s="12">
        <f>IF(AND(ISNUMBER(H38),ISNUMBER(Q38)),H38*Q38,"")</f>
        <v/>
      </c>
      <c r="S38" s="18">
        <f>IFERROR(INDIRECT("'"&amp;$C38&amp;"'!D86")+0,"")</f>
        <v/>
      </c>
      <c r="T38" s="11">
        <f>IFERROR(INDIRECT("'"&amp;$C38&amp;"'!D102")+0,"")</f>
        <v/>
      </c>
      <c r="U38" s="10" t="n"/>
      <c r="V38" s="10" t="n"/>
      <c r="W38" s="10" t="n"/>
      <c r="X38" s="10" t="n"/>
      <c r="Y38" s="20">
        <f>IFERROR(INDIRECT("'"&amp;$C38&amp;"'!D82")+0,"")</f>
        <v/>
      </c>
      <c r="Z38" s="21">
        <f>IFERROR(INDIRECT("'"&amp;$C38&amp;"'!D84")+0,"")</f>
        <v/>
      </c>
      <c r="AA38" s="12">
        <f>IFERROR(INDIRECT("'"&amp;$C38&amp;"'!D89")+INDIRECT("'"&amp;$C38&amp;"'!D94"),"")</f>
        <v/>
      </c>
    </row>
    <row r="39" ht="15.75" customHeight="1" s="59">
      <c r="A39" s="9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1">
        <f>IF($C39="","",IF(ISERROR(INDIRECT("'"&amp;$C39&amp;"'!C1")),"no tab yet",IF(N(Y39)+N(AA39)=0,"tab empty",IF(N(T39)&gt;0,"check inputs","costed"))))</f>
        <v/>
      </c>
      <c r="K39" s="12">
        <f>IF(OR($J39="",$J39="no tab yet",$J39="tab empty"),"",IFERROR(INDIRECT("'"&amp;$C39&amp;"'!D87")+INDIRECT("'"&amp;$C39&amp;"'!D88"),""))</f>
        <v/>
      </c>
      <c r="L39" s="12">
        <f>IF(OR($J39="",$J39="no tab yet",$J39="tab empty"),"",IFERROR(INDIRECT("'"&amp;$C39&amp;"'!D89")+0,""))</f>
        <v/>
      </c>
      <c r="M39" s="12">
        <f>IF(OR($J39="",$J39="no tab yet",$J39="tab empty"),"",IFERROR(SUM(INDIRECT("'"&amp;$C39&amp;"'!D90:D93")),""))</f>
        <v/>
      </c>
      <c r="N39" s="12">
        <f>IF(OR($J39="",$J39="no tab yet",$J39="tab empty"),"",IFERROR(INDIRECT("'"&amp;$C39&amp;"'!D94")+0,""))</f>
        <v/>
      </c>
      <c r="O39" s="12">
        <f>IF(OR($J39="",$J39="no tab yet",$J39="tab empty"),"",IFERROR(INDIRECT("'"&amp;$C39&amp;"'!D95")+0,""))</f>
        <v/>
      </c>
      <c r="P39" s="12">
        <f>IF(OR($J39="",$J39="no tab yet",$J39="tab empty"),"",IFERROR(INDIRECT("'"&amp;$C39&amp;"'!D97")+INDIRECT("'"&amp;$C39&amp;"'!D98"),""))</f>
        <v/>
      </c>
      <c r="Q39" s="16">
        <f>IF(OR($J39="",$J39="no tab yet",$J39="tab empty"),"",IFERROR(INDIRECT("'"&amp;$C39&amp;"'!D99")+0,""))</f>
        <v/>
      </c>
      <c r="R39" s="12">
        <f>IF(AND(ISNUMBER(H39),ISNUMBER(Q39)),H39*Q39,"")</f>
        <v/>
      </c>
      <c r="S39" s="18">
        <f>IFERROR(INDIRECT("'"&amp;$C39&amp;"'!D86")+0,"")</f>
        <v/>
      </c>
      <c r="T39" s="11">
        <f>IFERROR(INDIRECT("'"&amp;$C39&amp;"'!D102")+0,"")</f>
        <v/>
      </c>
      <c r="U39" s="10" t="n"/>
      <c r="V39" s="10" t="n"/>
      <c r="W39" s="10" t="n"/>
      <c r="X39" s="10" t="n"/>
      <c r="Y39" s="20">
        <f>IFERROR(INDIRECT("'"&amp;$C39&amp;"'!D82")+0,"")</f>
        <v/>
      </c>
      <c r="Z39" s="21">
        <f>IFERROR(INDIRECT("'"&amp;$C39&amp;"'!D84")+0,"")</f>
        <v/>
      </c>
      <c r="AA39" s="12">
        <f>IFERROR(INDIRECT("'"&amp;$C39&amp;"'!D89")+INDIRECT("'"&amp;$C39&amp;"'!D94"),"")</f>
        <v/>
      </c>
    </row>
    <row r="40" ht="15.75" customHeight="1" s="59">
      <c r="A40" s="9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1">
        <f>IF($C40="","",IF(ISERROR(INDIRECT("'"&amp;$C40&amp;"'!C1")),"no tab yet",IF(N(Y40)+N(AA40)=0,"tab empty",IF(N(T40)&gt;0,"check inputs","costed"))))</f>
        <v/>
      </c>
      <c r="K40" s="12">
        <f>IF(OR($J40="",$J40="no tab yet",$J40="tab empty"),"",IFERROR(INDIRECT("'"&amp;$C40&amp;"'!D87")+INDIRECT("'"&amp;$C40&amp;"'!D88"),""))</f>
        <v/>
      </c>
      <c r="L40" s="12">
        <f>IF(OR($J40="",$J40="no tab yet",$J40="tab empty"),"",IFERROR(INDIRECT("'"&amp;$C40&amp;"'!D89")+0,""))</f>
        <v/>
      </c>
      <c r="M40" s="12">
        <f>IF(OR($J40="",$J40="no tab yet",$J40="tab empty"),"",IFERROR(SUM(INDIRECT("'"&amp;$C40&amp;"'!D90:D93")),""))</f>
        <v/>
      </c>
      <c r="N40" s="12">
        <f>IF(OR($J40="",$J40="no tab yet",$J40="tab empty"),"",IFERROR(INDIRECT("'"&amp;$C40&amp;"'!D94")+0,""))</f>
        <v/>
      </c>
      <c r="O40" s="12">
        <f>IF(OR($J40="",$J40="no tab yet",$J40="tab empty"),"",IFERROR(INDIRECT("'"&amp;$C40&amp;"'!D95")+0,""))</f>
        <v/>
      </c>
      <c r="P40" s="12">
        <f>IF(OR($J40="",$J40="no tab yet",$J40="tab empty"),"",IFERROR(INDIRECT("'"&amp;$C40&amp;"'!D97")+INDIRECT("'"&amp;$C40&amp;"'!D98"),""))</f>
        <v/>
      </c>
      <c r="Q40" s="16">
        <f>IF(OR($J40="",$J40="no tab yet",$J40="tab empty"),"",IFERROR(INDIRECT("'"&amp;$C40&amp;"'!D99")+0,""))</f>
        <v/>
      </c>
      <c r="R40" s="12">
        <f>IF(AND(ISNUMBER(H40),ISNUMBER(Q40)),H40*Q40,"")</f>
        <v/>
      </c>
      <c r="S40" s="18">
        <f>IFERROR(INDIRECT("'"&amp;$C40&amp;"'!D86")+0,"")</f>
        <v/>
      </c>
      <c r="T40" s="11">
        <f>IFERROR(INDIRECT("'"&amp;$C40&amp;"'!D102")+0,"")</f>
        <v/>
      </c>
      <c r="U40" s="10" t="n"/>
      <c r="V40" s="10" t="n"/>
      <c r="W40" s="10" t="n"/>
      <c r="X40" s="10" t="n"/>
      <c r="Y40" s="20">
        <f>IFERROR(INDIRECT("'"&amp;$C40&amp;"'!D82")+0,"")</f>
        <v/>
      </c>
      <c r="Z40" s="21">
        <f>IFERROR(INDIRECT("'"&amp;$C40&amp;"'!D84")+0,"")</f>
        <v/>
      </c>
      <c r="AA40" s="12">
        <f>IFERROR(INDIRECT("'"&amp;$C40&amp;"'!D89")+INDIRECT("'"&amp;$C40&amp;"'!D94"),"")</f>
        <v/>
      </c>
    </row>
    <row r="41" ht="15.75" customHeight="1" s="59">
      <c r="A41" s="9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1">
        <f>IF($C41="","",IF(ISERROR(INDIRECT("'"&amp;$C41&amp;"'!C1")),"no tab yet",IF(N(Y41)+N(AA41)=0,"tab empty",IF(N(T41)&gt;0,"check inputs","costed"))))</f>
        <v/>
      </c>
      <c r="K41" s="12">
        <f>IF(OR($J41="",$J41="no tab yet",$J41="tab empty"),"",IFERROR(INDIRECT("'"&amp;$C41&amp;"'!D87")+INDIRECT("'"&amp;$C41&amp;"'!D88"),""))</f>
        <v/>
      </c>
      <c r="L41" s="12">
        <f>IF(OR($J41="",$J41="no tab yet",$J41="tab empty"),"",IFERROR(INDIRECT("'"&amp;$C41&amp;"'!D89")+0,""))</f>
        <v/>
      </c>
      <c r="M41" s="12">
        <f>IF(OR($J41="",$J41="no tab yet",$J41="tab empty"),"",IFERROR(SUM(INDIRECT("'"&amp;$C41&amp;"'!D90:D93")),""))</f>
        <v/>
      </c>
      <c r="N41" s="12">
        <f>IF(OR($J41="",$J41="no tab yet",$J41="tab empty"),"",IFERROR(INDIRECT("'"&amp;$C41&amp;"'!D94")+0,""))</f>
        <v/>
      </c>
      <c r="O41" s="12">
        <f>IF(OR($J41="",$J41="no tab yet",$J41="tab empty"),"",IFERROR(INDIRECT("'"&amp;$C41&amp;"'!D95")+0,""))</f>
        <v/>
      </c>
      <c r="P41" s="12">
        <f>IF(OR($J41="",$J41="no tab yet",$J41="tab empty"),"",IFERROR(INDIRECT("'"&amp;$C41&amp;"'!D97")+INDIRECT("'"&amp;$C41&amp;"'!D98"),""))</f>
        <v/>
      </c>
      <c r="Q41" s="16">
        <f>IF(OR($J41="",$J41="no tab yet",$J41="tab empty"),"",IFERROR(INDIRECT("'"&amp;$C41&amp;"'!D99")+0,""))</f>
        <v/>
      </c>
      <c r="R41" s="12">
        <f>IF(AND(ISNUMBER(H41),ISNUMBER(Q41)),H41*Q41,"")</f>
        <v/>
      </c>
      <c r="S41" s="18">
        <f>IFERROR(INDIRECT("'"&amp;$C41&amp;"'!D86")+0,"")</f>
        <v/>
      </c>
      <c r="T41" s="11">
        <f>IFERROR(INDIRECT("'"&amp;$C41&amp;"'!D102")+0,"")</f>
        <v/>
      </c>
      <c r="U41" s="10" t="n"/>
      <c r="V41" s="10" t="n"/>
      <c r="W41" s="10" t="n"/>
      <c r="X41" s="10" t="n"/>
      <c r="Y41" s="20">
        <f>IFERROR(INDIRECT("'"&amp;$C41&amp;"'!D82")+0,"")</f>
        <v/>
      </c>
      <c r="Z41" s="21">
        <f>IFERROR(INDIRECT("'"&amp;$C41&amp;"'!D84")+0,"")</f>
        <v/>
      </c>
      <c r="AA41" s="12">
        <f>IFERROR(INDIRECT("'"&amp;$C41&amp;"'!D89")+INDIRECT("'"&amp;$C41&amp;"'!D94"),"")</f>
        <v/>
      </c>
    </row>
    <row r="42" ht="15.75" customHeight="1" s="59">
      <c r="A42" s="9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1">
        <f>IF($C42="","",IF(ISERROR(INDIRECT("'"&amp;$C42&amp;"'!C1")),"no tab yet",IF(N(Y42)+N(AA42)=0,"tab empty",IF(N(T42)&gt;0,"check inputs","costed"))))</f>
        <v/>
      </c>
      <c r="K42" s="12">
        <f>IF(OR($J42="",$J42="no tab yet",$J42="tab empty"),"",IFERROR(INDIRECT("'"&amp;$C42&amp;"'!D87")+INDIRECT("'"&amp;$C42&amp;"'!D88"),""))</f>
        <v/>
      </c>
      <c r="L42" s="12">
        <f>IF(OR($J42="",$J42="no tab yet",$J42="tab empty"),"",IFERROR(INDIRECT("'"&amp;$C42&amp;"'!D89")+0,""))</f>
        <v/>
      </c>
      <c r="M42" s="12">
        <f>IF(OR($J42="",$J42="no tab yet",$J42="tab empty"),"",IFERROR(SUM(INDIRECT("'"&amp;$C42&amp;"'!D90:D93")),""))</f>
        <v/>
      </c>
      <c r="N42" s="12">
        <f>IF(OR($J42="",$J42="no tab yet",$J42="tab empty"),"",IFERROR(INDIRECT("'"&amp;$C42&amp;"'!D94")+0,""))</f>
        <v/>
      </c>
      <c r="O42" s="12">
        <f>IF(OR($J42="",$J42="no tab yet",$J42="tab empty"),"",IFERROR(INDIRECT("'"&amp;$C42&amp;"'!D95")+0,""))</f>
        <v/>
      </c>
      <c r="P42" s="12">
        <f>IF(OR($J42="",$J42="no tab yet",$J42="tab empty"),"",IFERROR(INDIRECT("'"&amp;$C42&amp;"'!D97")+INDIRECT("'"&amp;$C42&amp;"'!D98"),""))</f>
        <v/>
      </c>
      <c r="Q42" s="16">
        <f>IF(OR($J42="",$J42="no tab yet",$J42="tab empty"),"",IFERROR(INDIRECT("'"&amp;$C42&amp;"'!D99")+0,""))</f>
        <v/>
      </c>
      <c r="R42" s="12">
        <f>IF(AND(ISNUMBER(H42),ISNUMBER(Q42)),H42*Q42,"")</f>
        <v/>
      </c>
      <c r="S42" s="18">
        <f>IFERROR(INDIRECT("'"&amp;$C42&amp;"'!D86")+0,"")</f>
        <v/>
      </c>
      <c r="T42" s="11">
        <f>IFERROR(INDIRECT("'"&amp;$C42&amp;"'!D102")+0,"")</f>
        <v/>
      </c>
      <c r="U42" s="10" t="n"/>
      <c r="V42" s="10" t="n"/>
      <c r="W42" s="10" t="n"/>
      <c r="X42" s="10" t="n"/>
      <c r="Y42" s="20">
        <f>IFERROR(INDIRECT("'"&amp;$C42&amp;"'!D82")+0,"")</f>
        <v/>
      </c>
      <c r="Z42" s="21">
        <f>IFERROR(INDIRECT("'"&amp;$C42&amp;"'!D84")+0,"")</f>
        <v/>
      </c>
      <c r="AA42" s="12">
        <f>IFERROR(INDIRECT("'"&amp;$C42&amp;"'!D89")+INDIRECT("'"&amp;$C42&amp;"'!D94"),"")</f>
        <v/>
      </c>
    </row>
    <row r="43" ht="15.75" customHeight="1" s="59">
      <c r="A43" s="9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1">
        <f>IF($C43="","",IF(ISERROR(INDIRECT("'"&amp;$C43&amp;"'!C1")),"no tab yet",IF(N(Y43)+N(AA43)=0,"tab empty",IF(N(T43)&gt;0,"check inputs","costed"))))</f>
        <v/>
      </c>
      <c r="K43" s="12">
        <f>IF(OR($J43="",$J43="no tab yet",$J43="tab empty"),"",IFERROR(INDIRECT("'"&amp;$C43&amp;"'!D87")+INDIRECT("'"&amp;$C43&amp;"'!D88"),""))</f>
        <v/>
      </c>
      <c r="L43" s="12">
        <f>IF(OR($J43="",$J43="no tab yet",$J43="tab empty"),"",IFERROR(INDIRECT("'"&amp;$C43&amp;"'!D89")+0,""))</f>
        <v/>
      </c>
      <c r="M43" s="12">
        <f>IF(OR($J43="",$J43="no tab yet",$J43="tab empty"),"",IFERROR(SUM(INDIRECT("'"&amp;$C43&amp;"'!D90:D93")),""))</f>
        <v/>
      </c>
      <c r="N43" s="12">
        <f>IF(OR($J43="",$J43="no tab yet",$J43="tab empty"),"",IFERROR(INDIRECT("'"&amp;$C43&amp;"'!D94")+0,""))</f>
        <v/>
      </c>
      <c r="O43" s="12">
        <f>IF(OR($J43="",$J43="no tab yet",$J43="tab empty"),"",IFERROR(INDIRECT("'"&amp;$C43&amp;"'!D95")+0,""))</f>
        <v/>
      </c>
      <c r="P43" s="12">
        <f>IF(OR($J43="",$J43="no tab yet",$J43="tab empty"),"",IFERROR(INDIRECT("'"&amp;$C43&amp;"'!D97")+INDIRECT("'"&amp;$C43&amp;"'!D98"),""))</f>
        <v/>
      </c>
      <c r="Q43" s="16">
        <f>IF(OR($J43="",$J43="no tab yet",$J43="tab empty"),"",IFERROR(INDIRECT("'"&amp;$C43&amp;"'!D99")+0,""))</f>
        <v/>
      </c>
      <c r="R43" s="12">
        <f>IF(AND(ISNUMBER(H43),ISNUMBER(Q43)),H43*Q43,"")</f>
        <v/>
      </c>
      <c r="S43" s="18">
        <f>IFERROR(INDIRECT("'"&amp;$C43&amp;"'!D86")+0,"")</f>
        <v/>
      </c>
      <c r="T43" s="11">
        <f>IFERROR(INDIRECT("'"&amp;$C43&amp;"'!D102")+0,"")</f>
        <v/>
      </c>
      <c r="U43" s="10" t="n"/>
      <c r="V43" s="10" t="n"/>
      <c r="W43" s="10" t="n"/>
      <c r="X43" s="10" t="n"/>
      <c r="Y43" s="20">
        <f>IFERROR(INDIRECT("'"&amp;$C43&amp;"'!D82")+0,"")</f>
        <v/>
      </c>
      <c r="Z43" s="21">
        <f>IFERROR(INDIRECT("'"&amp;$C43&amp;"'!D84")+0,"")</f>
        <v/>
      </c>
      <c r="AA43" s="12">
        <f>IFERROR(INDIRECT("'"&amp;$C43&amp;"'!D89")+INDIRECT("'"&amp;$C43&amp;"'!D94"),"")</f>
        <v/>
      </c>
    </row>
    <row r="44" ht="15.75" customHeight="1" s="59">
      <c r="A44" s="9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1">
        <f>IF($C44="","",IF(ISERROR(INDIRECT("'"&amp;$C44&amp;"'!C1")),"no tab yet",IF(N(Y44)+N(AA44)=0,"tab empty",IF(N(T44)&gt;0,"check inputs","costed"))))</f>
        <v/>
      </c>
      <c r="K44" s="12">
        <f>IF(OR($J44="",$J44="no tab yet",$J44="tab empty"),"",IFERROR(INDIRECT("'"&amp;$C44&amp;"'!D87")+INDIRECT("'"&amp;$C44&amp;"'!D88"),""))</f>
        <v/>
      </c>
      <c r="L44" s="12">
        <f>IF(OR($J44="",$J44="no tab yet",$J44="tab empty"),"",IFERROR(INDIRECT("'"&amp;$C44&amp;"'!D89")+0,""))</f>
        <v/>
      </c>
      <c r="M44" s="12">
        <f>IF(OR($J44="",$J44="no tab yet",$J44="tab empty"),"",IFERROR(SUM(INDIRECT("'"&amp;$C44&amp;"'!D90:D93")),""))</f>
        <v/>
      </c>
      <c r="N44" s="12">
        <f>IF(OR($J44="",$J44="no tab yet",$J44="tab empty"),"",IFERROR(INDIRECT("'"&amp;$C44&amp;"'!D94")+0,""))</f>
        <v/>
      </c>
      <c r="O44" s="12">
        <f>IF(OR($J44="",$J44="no tab yet",$J44="tab empty"),"",IFERROR(INDIRECT("'"&amp;$C44&amp;"'!D95")+0,""))</f>
        <v/>
      </c>
      <c r="P44" s="12">
        <f>IF(OR($J44="",$J44="no tab yet",$J44="tab empty"),"",IFERROR(INDIRECT("'"&amp;$C44&amp;"'!D97")+INDIRECT("'"&amp;$C44&amp;"'!D98"),""))</f>
        <v/>
      </c>
      <c r="Q44" s="16">
        <f>IF(OR($J44="",$J44="no tab yet",$J44="tab empty"),"",IFERROR(INDIRECT("'"&amp;$C44&amp;"'!D99")+0,""))</f>
        <v/>
      </c>
      <c r="R44" s="12">
        <f>IF(AND(ISNUMBER(H44),ISNUMBER(Q44)),H44*Q44,"")</f>
        <v/>
      </c>
      <c r="S44" s="18">
        <f>IFERROR(INDIRECT("'"&amp;$C44&amp;"'!D86")+0,"")</f>
        <v/>
      </c>
      <c r="T44" s="11">
        <f>IFERROR(INDIRECT("'"&amp;$C44&amp;"'!D102")+0,"")</f>
        <v/>
      </c>
      <c r="U44" s="10" t="n"/>
      <c r="V44" s="10" t="n"/>
      <c r="W44" s="10" t="n"/>
      <c r="X44" s="10" t="n"/>
      <c r="Y44" s="20">
        <f>IFERROR(INDIRECT("'"&amp;$C44&amp;"'!D82")+0,"")</f>
        <v/>
      </c>
      <c r="Z44" s="21">
        <f>IFERROR(INDIRECT("'"&amp;$C44&amp;"'!D84")+0,"")</f>
        <v/>
      </c>
      <c r="AA44" s="12">
        <f>IFERROR(INDIRECT("'"&amp;$C44&amp;"'!D89")+INDIRECT("'"&amp;$C44&amp;"'!D94"),"")</f>
        <v/>
      </c>
    </row>
    <row r="45" ht="15.75" customHeight="1" s="59">
      <c r="A45" s="9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1">
        <f>IF($C45="","",IF(ISERROR(INDIRECT("'"&amp;$C45&amp;"'!C1")),"no tab yet",IF(N(Y45)+N(AA45)=0,"tab empty",IF(N(T45)&gt;0,"check inputs","costed"))))</f>
        <v/>
      </c>
      <c r="K45" s="12">
        <f>IF(OR($J45="",$J45="no tab yet",$J45="tab empty"),"",IFERROR(INDIRECT("'"&amp;$C45&amp;"'!D87")+INDIRECT("'"&amp;$C45&amp;"'!D88"),""))</f>
        <v/>
      </c>
      <c r="L45" s="12">
        <f>IF(OR($J45="",$J45="no tab yet",$J45="tab empty"),"",IFERROR(INDIRECT("'"&amp;$C45&amp;"'!D89")+0,""))</f>
        <v/>
      </c>
      <c r="M45" s="12">
        <f>IF(OR($J45="",$J45="no tab yet",$J45="tab empty"),"",IFERROR(SUM(INDIRECT("'"&amp;$C45&amp;"'!D90:D93")),""))</f>
        <v/>
      </c>
      <c r="N45" s="12">
        <f>IF(OR($J45="",$J45="no tab yet",$J45="tab empty"),"",IFERROR(INDIRECT("'"&amp;$C45&amp;"'!D94")+0,""))</f>
        <v/>
      </c>
      <c r="O45" s="12">
        <f>IF(OR($J45="",$J45="no tab yet",$J45="tab empty"),"",IFERROR(INDIRECT("'"&amp;$C45&amp;"'!D95")+0,""))</f>
        <v/>
      </c>
      <c r="P45" s="12">
        <f>IF(OR($J45="",$J45="no tab yet",$J45="tab empty"),"",IFERROR(INDIRECT("'"&amp;$C45&amp;"'!D97")+INDIRECT("'"&amp;$C45&amp;"'!D98"),""))</f>
        <v/>
      </c>
      <c r="Q45" s="16">
        <f>IF(OR($J45="",$J45="no tab yet",$J45="tab empty"),"",IFERROR(INDIRECT("'"&amp;$C45&amp;"'!D99")+0,""))</f>
        <v/>
      </c>
      <c r="R45" s="12">
        <f>IF(AND(ISNUMBER(H45),ISNUMBER(Q45)),H45*Q45,"")</f>
        <v/>
      </c>
      <c r="S45" s="18">
        <f>IFERROR(INDIRECT("'"&amp;$C45&amp;"'!D86")+0,"")</f>
        <v/>
      </c>
      <c r="T45" s="11">
        <f>IFERROR(INDIRECT("'"&amp;$C45&amp;"'!D102")+0,"")</f>
        <v/>
      </c>
      <c r="U45" s="10" t="n"/>
      <c r="V45" s="10" t="n"/>
      <c r="W45" s="10" t="n"/>
      <c r="X45" s="10" t="n"/>
      <c r="Y45" s="20">
        <f>IFERROR(INDIRECT("'"&amp;$C45&amp;"'!D82")+0,"")</f>
        <v/>
      </c>
      <c r="Z45" s="21">
        <f>IFERROR(INDIRECT("'"&amp;$C45&amp;"'!D84")+0,"")</f>
        <v/>
      </c>
      <c r="AA45" s="12">
        <f>IFERROR(INDIRECT("'"&amp;$C45&amp;"'!D89")+INDIRECT("'"&amp;$C45&amp;"'!D94"),"")</f>
        <v/>
      </c>
    </row>
    <row r="46" ht="15.75" customHeight="1" s="59">
      <c r="A46" s="9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1">
        <f>IF($C46="","",IF(ISERROR(INDIRECT("'"&amp;$C46&amp;"'!C1")),"no tab yet",IF(N(Y46)+N(AA46)=0,"tab empty",IF(N(T46)&gt;0,"check inputs","costed"))))</f>
        <v/>
      </c>
      <c r="K46" s="12">
        <f>IF(OR($J46="",$J46="no tab yet",$J46="tab empty"),"",IFERROR(INDIRECT("'"&amp;$C46&amp;"'!D87")+INDIRECT("'"&amp;$C46&amp;"'!D88"),""))</f>
        <v/>
      </c>
      <c r="L46" s="12">
        <f>IF(OR($J46="",$J46="no tab yet",$J46="tab empty"),"",IFERROR(INDIRECT("'"&amp;$C46&amp;"'!D89")+0,""))</f>
        <v/>
      </c>
      <c r="M46" s="12">
        <f>IF(OR($J46="",$J46="no tab yet",$J46="tab empty"),"",IFERROR(SUM(INDIRECT("'"&amp;$C46&amp;"'!D90:D93")),""))</f>
        <v/>
      </c>
      <c r="N46" s="12">
        <f>IF(OR($J46="",$J46="no tab yet",$J46="tab empty"),"",IFERROR(INDIRECT("'"&amp;$C46&amp;"'!D94")+0,""))</f>
        <v/>
      </c>
      <c r="O46" s="12">
        <f>IF(OR($J46="",$J46="no tab yet",$J46="tab empty"),"",IFERROR(INDIRECT("'"&amp;$C46&amp;"'!D95")+0,""))</f>
        <v/>
      </c>
      <c r="P46" s="12">
        <f>IF(OR($J46="",$J46="no tab yet",$J46="tab empty"),"",IFERROR(INDIRECT("'"&amp;$C46&amp;"'!D97")+INDIRECT("'"&amp;$C46&amp;"'!D98"),""))</f>
        <v/>
      </c>
      <c r="Q46" s="16">
        <f>IF(OR($J46="",$J46="no tab yet",$J46="tab empty"),"",IFERROR(INDIRECT("'"&amp;$C46&amp;"'!D99")+0,""))</f>
        <v/>
      </c>
      <c r="R46" s="12">
        <f>IF(AND(ISNUMBER(H46),ISNUMBER(Q46)),H46*Q46,"")</f>
        <v/>
      </c>
      <c r="S46" s="18">
        <f>IFERROR(INDIRECT("'"&amp;$C46&amp;"'!D86")+0,"")</f>
        <v/>
      </c>
      <c r="T46" s="11">
        <f>IFERROR(INDIRECT("'"&amp;$C46&amp;"'!D102")+0,"")</f>
        <v/>
      </c>
      <c r="U46" s="10" t="n"/>
      <c r="V46" s="10" t="n"/>
      <c r="W46" s="10" t="n"/>
      <c r="X46" s="10" t="n"/>
      <c r="Y46" s="20">
        <f>IFERROR(INDIRECT("'"&amp;$C46&amp;"'!D82")+0,"")</f>
        <v/>
      </c>
      <c r="Z46" s="21">
        <f>IFERROR(INDIRECT("'"&amp;$C46&amp;"'!D84")+0,"")</f>
        <v/>
      </c>
      <c r="AA46" s="12">
        <f>IFERROR(INDIRECT("'"&amp;$C46&amp;"'!D89")+INDIRECT("'"&amp;$C46&amp;"'!D94"),"")</f>
        <v/>
      </c>
    </row>
    <row r="47" ht="15.75" customHeight="1" s="59">
      <c r="A47" s="9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1">
        <f>IF($C47="","",IF(ISERROR(INDIRECT("'"&amp;$C47&amp;"'!C1")),"no tab yet",IF(N(Y47)+N(AA47)=0,"tab empty",IF(N(T47)&gt;0,"check inputs","costed"))))</f>
        <v/>
      </c>
      <c r="K47" s="12">
        <f>IF(OR($J47="",$J47="no tab yet",$J47="tab empty"),"",IFERROR(INDIRECT("'"&amp;$C47&amp;"'!D87")+INDIRECT("'"&amp;$C47&amp;"'!D88"),""))</f>
        <v/>
      </c>
      <c r="L47" s="12">
        <f>IF(OR($J47="",$J47="no tab yet",$J47="tab empty"),"",IFERROR(INDIRECT("'"&amp;$C47&amp;"'!D89")+0,""))</f>
        <v/>
      </c>
      <c r="M47" s="12">
        <f>IF(OR($J47="",$J47="no tab yet",$J47="tab empty"),"",IFERROR(SUM(INDIRECT("'"&amp;$C47&amp;"'!D90:D93")),""))</f>
        <v/>
      </c>
      <c r="N47" s="12">
        <f>IF(OR($J47="",$J47="no tab yet",$J47="tab empty"),"",IFERROR(INDIRECT("'"&amp;$C47&amp;"'!D94")+0,""))</f>
        <v/>
      </c>
      <c r="O47" s="12">
        <f>IF(OR($J47="",$J47="no tab yet",$J47="tab empty"),"",IFERROR(INDIRECT("'"&amp;$C47&amp;"'!D95")+0,""))</f>
        <v/>
      </c>
      <c r="P47" s="12">
        <f>IF(OR($J47="",$J47="no tab yet",$J47="tab empty"),"",IFERROR(INDIRECT("'"&amp;$C47&amp;"'!D97")+INDIRECT("'"&amp;$C47&amp;"'!D98"),""))</f>
        <v/>
      </c>
      <c r="Q47" s="16">
        <f>IF(OR($J47="",$J47="no tab yet",$J47="tab empty"),"",IFERROR(INDIRECT("'"&amp;$C47&amp;"'!D99")+0,""))</f>
        <v/>
      </c>
      <c r="R47" s="12">
        <f>IF(AND(ISNUMBER(H47),ISNUMBER(Q47)),H47*Q47,"")</f>
        <v/>
      </c>
      <c r="S47" s="18">
        <f>IFERROR(INDIRECT("'"&amp;$C47&amp;"'!D86")+0,"")</f>
        <v/>
      </c>
      <c r="T47" s="11">
        <f>IFERROR(INDIRECT("'"&amp;$C47&amp;"'!D102")+0,"")</f>
        <v/>
      </c>
      <c r="U47" s="10" t="n"/>
      <c r="V47" s="10" t="n"/>
      <c r="W47" s="10" t="n"/>
      <c r="X47" s="10" t="n"/>
      <c r="Y47" s="20">
        <f>IFERROR(INDIRECT("'"&amp;$C47&amp;"'!D82")+0,"")</f>
        <v/>
      </c>
      <c r="Z47" s="21">
        <f>IFERROR(INDIRECT("'"&amp;$C47&amp;"'!D84")+0,"")</f>
        <v/>
      </c>
      <c r="AA47" s="12">
        <f>IFERROR(INDIRECT("'"&amp;$C47&amp;"'!D89")+INDIRECT("'"&amp;$C47&amp;"'!D94"),"")</f>
        <v/>
      </c>
    </row>
    <row r="48" ht="15.75" customHeight="1" s="59">
      <c r="A48" s="9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1">
        <f>IF($C48="","",IF(ISERROR(INDIRECT("'"&amp;$C48&amp;"'!C1")),"no tab yet",IF(N(Y48)+N(AA48)=0,"tab empty",IF(N(T48)&gt;0,"check inputs","costed"))))</f>
        <v/>
      </c>
      <c r="K48" s="12">
        <f>IF(OR($J48="",$J48="no tab yet",$J48="tab empty"),"",IFERROR(INDIRECT("'"&amp;$C48&amp;"'!D87")+INDIRECT("'"&amp;$C48&amp;"'!D88"),""))</f>
        <v/>
      </c>
      <c r="L48" s="12">
        <f>IF(OR($J48="",$J48="no tab yet",$J48="tab empty"),"",IFERROR(INDIRECT("'"&amp;$C48&amp;"'!D89")+0,""))</f>
        <v/>
      </c>
      <c r="M48" s="12">
        <f>IF(OR($J48="",$J48="no tab yet",$J48="tab empty"),"",IFERROR(SUM(INDIRECT("'"&amp;$C48&amp;"'!D90:D93")),""))</f>
        <v/>
      </c>
      <c r="N48" s="12">
        <f>IF(OR($J48="",$J48="no tab yet",$J48="tab empty"),"",IFERROR(INDIRECT("'"&amp;$C48&amp;"'!D94")+0,""))</f>
        <v/>
      </c>
      <c r="O48" s="12">
        <f>IF(OR($J48="",$J48="no tab yet",$J48="tab empty"),"",IFERROR(INDIRECT("'"&amp;$C48&amp;"'!D95")+0,""))</f>
        <v/>
      </c>
      <c r="P48" s="12">
        <f>IF(OR($J48="",$J48="no tab yet",$J48="tab empty"),"",IFERROR(INDIRECT("'"&amp;$C48&amp;"'!D97")+INDIRECT("'"&amp;$C48&amp;"'!D98"),""))</f>
        <v/>
      </c>
      <c r="Q48" s="16">
        <f>IF(OR($J48="",$J48="no tab yet",$J48="tab empty"),"",IFERROR(INDIRECT("'"&amp;$C48&amp;"'!D99")+0,""))</f>
        <v/>
      </c>
      <c r="R48" s="12">
        <f>IF(AND(ISNUMBER(H48),ISNUMBER(Q48)),H48*Q48,"")</f>
        <v/>
      </c>
      <c r="S48" s="18">
        <f>IFERROR(INDIRECT("'"&amp;$C48&amp;"'!D86")+0,"")</f>
        <v/>
      </c>
      <c r="T48" s="11">
        <f>IFERROR(INDIRECT("'"&amp;$C48&amp;"'!D102")+0,"")</f>
        <v/>
      </c>
      <c r="U48" s="10" t="n"/>
      <c r="V48" s="10" t="n"/>
      <c r="W48" s="10" t="n"/>
      <c r="X48" s="10" t="n"/>
      <c r="Y48" s="20">
        <f>IFERROR(INDIRECT("'"&amp;$C48&amp;"'!D82")+0,"")</f>
        <v/>
      </c>
      <c r="Z48" s="21">
        <f>IFERROR(INDIRECT("'"&amp;$C48&amp;"'!D84")+0,"")</f>
        <v/>
      </c>
      <c r="AA48" s="12">
        <f>IFERROR(INDIRECT("'"&amp;$C48&amp;"'!D89")+INDIRECT("'"&amp;$C48&amp;"'!D94"),"")</f>
        <v/>
      </c>
    </row>
    <row r="49" ht="15.75" customHeight="1" s="59">
      <c r="A49" s="9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1">
        <f>IF($C49="","",IF(ISERROR(INDIRECT("'"&amp;$C49&amp;"'!C1")),"no tab yet",IF(N(Y49)+N(AA49)=0,"tab empty",IF(N(T49)&gt;0,"check inputs","costed"))))</f>
        <v/>
      </c>
      <c r="K49" s="12">
        <f>IF(OR($J49="",$J49="no tab yet",$J49="tab empty"),"",IFERROR(INDIRECT("'"&amp;$C49&amp;"'!D87")+INDIRECT("'"&amp;$C49&amp;"'!D88"),""))</f>
        <v/>
      </c>
      <c r="L49" s="12">
        <f>IF(OR($J49="",$J49="no tab yet",$J49="tab empty"),"",IFERROR(INDIRECT("'"&amp;$C49&amp;"'!D89")+0,""))</f>
        <v/>
      </c>
      <c r="M49" s="12">
        <f>IF(OR($J49="",$J49="no tab yet",$J49="tab empty"),"",IFERROR(SUM(INDIRECT("'"&amp;$C49&amp;"'!D90:D93")),""))</f>
        <v/>
      </c>
      <c r="N49" s="12">
        <f>IF(OR($J49="",$J49="no tab yet",$J49="tab empty"),"",IFERROR(INDIRECT("'"&amp;$C49&amp;"'!D94")+0,""))</f>
        <v/>
      </c>
      <c r="O49" s="12">
        <f>IF(OR($J49="",$J49="no tab yet",$J49="tab empty"),"",IFERROR(INDIRECT("'"&amp;$C49&amp;"'!D95")+0,""))</f>
        <v/>
      </c>
      <c r="P49" s="12">
        <f>IF(OR($J49="",$J49="no tab yet",$J49="tab empty"),"",IFERROR(INDIRECT("'"&amp;$C49&amp;"'!D97")+INDIRECT("'"&amp;$C49&amp;"'!D98"),""))</f>
        <v/>
      </c>
      <c r="Q49" s="16">
        <f>IF(OR($J49="",$J49="no tab yet",$J49="tab empty"),"",IFERROR(INDIRECT("'"&amp;$C49&amp;"'!D99")+0,""))</f>
        <v/>
      </c>
      <c r="R49" s="12">
        <f>IF(AND(ISNUMBER(H49),ISNUMBER(Q49)),H49*Q49,"")</f>
        <v/>
      </c>
      <c r="S49" s="18">
        <f>IFERROR(INDIRECT("'"&amp;$C49&amp;"'!D86")+0,"")</f>
        <v/>
      </c>
      <c r="T49" s="11">
        <f>IFERROR(INDIRECT("'"&amp;$C49&amp;"'!D102")+0,"")</f>
        <v/>
      </c>
      <c r="U49" s="10" t="n"/>
      <c r="V49" s="10" t="n"/>
      <c r="W49" s="10" t="n"/>
      <c r="X49" s="10" t="n"/>
      <c r="Y49" s="20">
        <f>IFERROR(INDIRECT("'"&amp;$C49&amp;"'!D82")+0,"")</f>
        <v/>
      </c>
      <c r="Z49" s="21">
        <f>IFERROR(INDIRECT("'"&amp;$C49&amp;"'!D84")+0,"")</f>
        <v/>
      </c>
      <c r="AA49" s="12">
        <f>IFERROR(INDIRECT("'"&amp;$C49&amp;"'!D89")+INDIRECT("'"&amp;$C49&amp;"'!D94"),"")</f>
        <v/>
      </c>
    </row>
    <row r="50" ht="15.75" customHeight="1" s="59">
      <c r="A50" s="9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1">
        <f>IF($C50="","",IF(ISERROR(INDIRECT("'"&amp;$C50&amp;"'!C1")),"no tab yet",IF(N(Y50)+N(AA50)=0,"tab empty",IF(N(T50)&gt;0,"check inputs","costed"))))</f>
        <v/>
      </c>
      <c r="K50" s="12">
        <f>IF(OR($J50="",$J50="no tab yet",$J50="tab empty"),"",IFERROR(INDIRECT("'"&amp;$C50&amp;"'!D87")+INDIRECT("'"&amp;$C50&amp;"'!D88"),""))</f>
        <v/>
      </c>
      <c r="L50" s="12">
        <f>IF(OR($J50="",$J50="no tab yet",$J50="tab empty"),"",IFERROR(INDIRECT("'"&amp;$C50&amp;"'!D89")+0,""))</f>
        <v/>
      </c>
      <c r="M50" s="12">
        <f>IF(OR($J50="",$J50="no tab yet",$J50="tab empty"),"",IFERROR(SUM(INDIRECT("'"&amp;$C50&amp;"'!D90:D93")),""))</f>
        <v/>
      </c>
      <c r="N50" s="12">
        <f>IF(OR($J50="",$J50="no tab yet",$J50="tab empty"),"",IFERROR(INDIRECT("'"&amp;$C50&amp;"'!D94")+0,""))</f>
        <v/>
      </c>
      <c r="O50" s="12">
        <f>IF(OR($J50="",$J50="no tab yet",$J50="tab empty"),"",IFERROR(INDIRECT("'"&amp;$C50&amp;"'!D95")+0,""))</f>
        <v/>
      </c>
      <c r="P50" s="12">
        <f>IF(OR($J50="",$J50="no tab yet",$J50="tab empty"),"",IFERROR(INDIRECT("'"&amp;$C50&amp;"'!D97")+INDIRECT("'"&amp;$C50&amp;"'!D98"),""))</f>
        <v/>
      </c>
      <c r="Q50" s="16">
        <f>IF(OR($J50="",$J50="no tab yet",$J50="tab empty"),"",IFERROR(INDIRECT("'"&amp;$C50&amp;"'!D99")+0,""))</f>
        <v/>
      </c>
      <c r="R50" s="12">
        <f>IF(AND(ISNUMBER(H50),ISNUMBER(Q50)),H50*Q50,"")</f>
        <v/>
      </c>
      <c r="S50" s="18">
        <f>IFERROR(INDIRECT("'"&amp;$C50&amp;"'!D86")+0,"")</f>
        <v/>
      </c>
      <c r="T50" s="11">
        <f>IFERROR(INDIRECT("'"&amp;$C50&amp;"'!D102")+0,"")</f>
        <v/>
      </c>
      <c r="U50" s="10" t="n"/>
      <c r="V50" s="10" t="n"/>
      <c r="W50" s="10" t="n"/>
      <c r="X50" s="10" t="n"/>
      <c r="Y50" s="20">
        <f>IFERROR(INDIRECT("'"&amp;$C50&amp;"'!D82")+0,"")</f>
        <v/>
      </c>
      <c r="Z50" s="21">
        <f>IFERROR(INDIRECT("'"&amp;$C50&amp;"'!D84")+0,"")</f>
        <v/>
      </c>
      <c r="AA50" s="12">
        <f>IFERROR(INDIRECT("'"&amp;$C50&amp;"'!D89")+INDIRECT("'"&amp;$C50&amp;"'!D94"),"")</f>
        <v/>
      </c>
    </row>
    <row r="51" ht="15.75" customHeight="1" s="59">
      <c r="A51" s="9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1">
        <f>IF($C51="","",IF(ISERROR(INDIRECT("'"&amp;$C51&amp;"'!C1")),"no tab yet",IF(N(Y51)+N(AA51)=0,"tab empty",IF(N(T51)&gt;0,"check inputs","costed"))))</f>
        <v/>
      </c>
      <c r="K51" s="12">
        <f>IF(OR($J51="",$J51="no tab yet",$J51="tab empty"),"",IFERROR(INDIRECT("'"&amp;$C51&amp;"'!D87")+INDIRECT("'"&amp;$C51&amp;"'!D88"),""))</f>
        <v/>
      </c>
      <c r="L51" s="12">
        <f>IF(OR($J51="",$J51="no tab yet",$J51="tab empty"),"",IFERROR(INDIRECT("'"&amp;$C51&amp;"'!D89")+0,""))</f>
        <v/>
      </c>
      <c r="M51" s="12">
        <f>IF(OR($J51="",$J51="no tab yet",$J51="tab empty"),"",IFERROR(SUM(INDIRECT("'"&amp;$C51&amp;"'!D90:D93")),""))</f>
        <v/>
      </c>
      <c r="N51" s="12">
        <f>IF(OR($J51="",$J51="no tab yet",$J51="tab empty"),"",IFERROR(INDIRECT("'"&amp;$C51&amp;"'!D94")+0,""))</f>
        <v/>
      </c>
      <c r="O51" s="12">
        <f>IF(OR($J51="",$J51="no tab yet",$J51="tab empty"),"",IFERROR(INDIRECT("'"&amp;$C51&amp;"'!D95")+0,""))</f>
        <v/>
      </c>
      <c r="P51" s="12">
        <f>IF(OR($J51="",$J51="no tab yet",$J51="tab empty"),"",IFERROR(INDIRECT("'"&amp;$C51&amp;"'!D97")+INDIRECT("'"&amp;$C51&amp;"'!D98"),""))</f>
        <v/>
      </c>
      <c r="Q51" s="16">
        <f>IF(OR($J51="",$J51="no tab yet",$J51="tab empty"),"",IFERROR(INDIRECT("'"&amp;$C51&amp;"'!D99")+0,""))</f>
        <v/>
      </c>
      <c r="R51" s="12">
        <f>IF(AND(ISNUMBER(H51),ISNUMBER(Q51)),H51*Q51,"")</f>
        <v/>
      </c>
      <c r="S51" s="18">
        <f>IFERROR(INDIRECT("'"&amp;$C51&amp;"'!D86")+0,"")</f>
        <v/>
      </c>
      <c r="T51" s="11">
        <f>IFERROR(INDIRECT("'"&amp;$C51&amp;"'!D102")+0,"")</f>
        <v/>
      </c>
      <c r="U51" s="10" t="n"/>
      <c r="V51" s="10" t="n"/>
      <c r="W51" s="10" t="n"/>
      <c r="X51" s="10" t="n"/>
      <c r="Y51" s="20">
        <f>IFERROR(INDIRECT("'"&amp;$C51&amp;"'!D82")+0,"")</f>
        <v/>
      </c>
      <c r="Z51" s="21">
        <f>IFERROR(INDIRECT("'"&amp;$C51&amp;"'!D84")+0,"")</f>
        <v/>
      </c>
      <c r="AA51" s="12">
        <f>IFERROR(INDIRECT("'"&amp;$C51&amp;"'!D89")+INDIRECT("'"&amp;$C51&amp;"'!D94"),"")</f>
        <v/>
      </c>
    </row>
    <row r="52" ht="15.75" customHeight="1" s="59">
      <c r="A52" s="9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1">
        <f>IF($C52="","",IF(ISERROR(INDIRECT("'"&amp;$C52&amp;"'!C1")),"no tab yet",IF(N(Y52)+N(AA52)=0,"tab empty",IF(N(T52)&gt;0,"check inputs","costed"))))</f>
        <v/>
      </c>
      <c r="K52" s="12">
        <f>IF(OR($J52="",$J52="no tab yet",$J52="tab empty"),"",IFERROR(INDIRECT("'"&amp;$C52&amp;"'!D87")+INDIRECT("'"&amp;$C52&amp;"'!D88"),""))</f>
        <v/>
      </c>
      <c r="L52" s="12">
        <f>IF(OR($J52="",$J52="no tab yet",$J52="tab empty"),"",IFERROR(INDIRECT("'"&amp;$C52&amp;"'!D89")+0,""))</f>
        <v/>
      </c>
      <c r="M52" s="12">
        <f>IF(OR($J52="",$J52="no tab yet",$J52="tab empty"),"",IFERROR(SUM(INDIRECT("'"&amp;$C52&amp;"'!D90:D93")),""))</f>
        <v/>
      </c>
      <c r="N52" s="12">
        <f>IF(OR($J52="",$J52="no tab yet",$J52="tab empty"),"",IFERROR(INDIRECT("'"&amp;$C52&amp;"'!D94")+0,""))</f>
        <v/>
      </c>
      <c r="O52" s="12">
        <f>IF(OR($J52="",$J52="no tab yet",$J52="tab empty"),"",IFERROR(INDIRECT("'"&amp;$C52&amp;"'!D95")+0,""))</f>
        <v/>
      </c>
      <c r="P52" s="12">
        <f>IF(OR($J52="",$J52="no tab yet",$J52="tab empty"),"",IFERROR(INDIRECT("'"&amp;$C52&amp;"'!D97")+INDIRECT("'"&amp;$C52&amp;"'!D98"),""))</f>
        <v/>
      </c>
      <c r="Q52" s="16">
        <f>IF(OR($J52="",$J52="no tab yet",$J52="tab empty"),"",IFERROR(INDIRECT("'"&amp;$C52&amp;"'!D99")+0,""))</f>
        <v/>
      </c>
      <c r="R52" s="12">
        <f>IF(AND(ISNUMBER(H52),ISNUMBER(Q52)),H52*Q52,"")</f>
        <v/>
      </c>
      <c r="S52" s="18">
        <f>IFERROR(INDIRECT("'"&amp;$C52&amp;"'!D86")+0,"")</f>
        <v/>
      </c>
      <c r="T52" s="11">
        <f>IFERROR(INDIRECT("'"&amp;$C52&amp;"'!D102")+0,"")</f>
        <v/>
      </c>
      <c r="U52" s="10" t="n"/>
      <c r="V52" s="10" t="n"/>
      <c r="W52" s="10" t="n"/>
      <c r="X52" s="10" t="n"/>
      <c r="Y52" s="20">
        <f>IFERROR(INDIRECT("'"&amp;$C52&amp;"'!D82")+0,"")</f>
        <v/>
      </c>
      <c r="Z52" s="21">
        <f>IFERROR(INDIRECT("'"&amp;$C52&amp;"'!D84")+0,"")</f>
        <v/>
      </c>
      <c r="AA52" s="12">
        <f>IFERROR(INDIRECT("'"&amp;$C52&amp;"'!D89")+INDIRECT("'"&amp;$C52&amp;"'!D94"),"")</f>
        <v/>
      </c>
    </row>
    <row r="53" ht="15.75" customHeight="1" s="59">
      <c r="A53" s="9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1">
        <f>IF($C53="","",IF(ISERROR(INDIRECT("'"&amp;$C53&amp;"'!C1")),"no tab yet",IF(N(Y53)+N(AA53)=0,"tab empty",IF(N(T53)&gt;0,"check inputs","costed"))))</f>
        <v/>
      </c>
      <c r="K53" s="12">
        <f>IF(OR($J53="",$J53="no tab yet",$J53="tab empty"),"",IFERROR(INDIRECT("'"&amp;$C53&amp;"'!D87")+INDIRECT("'"&amp;$C53&amp;"'!D88"),""))</f>
        <v/>
      </c>
      <c r="L53" s="12">
        <f>IF(OR($J53="",$J53="no tab yet",$J53="tab empty"),"",IFERROR(INDIRECT("'"&amp;$C53&amp;"'!D89")+0,""))</f>
        <v/>
      </c>
      <c r="M53" s="12">
        <f>IF(OR($J53="",$J53="no tab yet",$J53="tab empty"),"",IFERROR(SUM(INDIRECT("'"&amp;$C53&amp;"'!D90:D93")),""))</f>
        <v/>
      </c>
      <c r="N53" s="12">
        <f>IF(OR($J53="",$J53="no tab yet",$J53="tab empty"),"",IFERROR(INDIRECT("'"&amp;$C53&amp;"'!D94")+0,""))</f>
        <v/>
      </c>
      <c r="O53" s="12">
        <f>IF(OR($J53="",$J53="no tab yet",$J53="tab empty"),"",IFERROR(INDIRECT("'"&amp;$C53&amp;"'!D95")+0,""))</f>
        <v/>
      </c>
      <c r="P53" s="12">
        <f>IF(OR($J53="",$J53="no tab yet",$J53="tab empty"),"",IFERROR(INDIRECT("'"&amp;$C53&amp;"'!D97")+INDIRECT("'"&amp;$C53&amp;"'!D98"),""))</f>
        <v/>
      </c>
      <c r="Q53" s="16">
        <f>IF(OR($J53="",$J53="no tab yet",$J53="tab empty"),"",IFERROR(INDIRECT("'"&amp;$C53&amp;"'!D99")+0,""))</f>
        <v/>
      </c>
      <c r="R53" s="12">
        <f>IF(AND(ISNUMBER(H53),ISNUMBER(Q53)),H53*Q53,"")</f>
        <v/>
      </c>
      <c r="S53" s="18">
        <f>IFERROR(INDIRECT("'"&amp;$C53&amp;"'!D86")+0,"")</f>
        <v/>
      </c>
      <c r="T53" s="11">
        <f>IFERROR(INDIRECT("'"&amp;$C53&amp;"'!D102")+0,"")</f>
        <v/>
      </c>
      <c r="U53" s="10" t="n"/>
      <c r="V53" s="10" t="n"/>
      <c r="W53" s="10" t="n"/>
      <c r="X53" s="10" t="n"/>
      <c r="Y53" s="20">
        <f>IFERROR(INDIRECT("'"&amp;$C53&amp;"'!D82")+0,"")</f>
        <v/>
      </c>
      <c r="Z53" s="21">
        <f>IFERROR(INDIRECT("'"&amp;$C53&amp;"'!D84")+0,"")</f>
        <v/>
      </c>
      <c r="AA53" s="12">
        <f>IFERROR(INDIRECT("'"&amp;$C53&amp;"'!D89")+INDIRECT("'"&amp;$C53&amp;"'!D94"),"")</f>
        <v/>
      </c>
    </row>
    <row r="54" ht="15.75" customHeight="1" s="59">
      <c r="A54" s="26" t="n"/>
      <c r="B54" s="26" t="n"/>
      <c r="C54" s="26" t="n"/>
      <c r="D54" s="27" t="n"/>
      <c r="E54" s="26" t="n"/>
      <c r="F54" s="26" t="n"/>
      <c r="G54" s="26" t="n"/>
      <c r="H54" s="27" t="n"/>
      <c r="I54" s="26" t="n"/>
      <c r="J54" s="27">
        <f>COUNTIF(J5:J53,"costed")&amp;" costed / "&amp;COUNTA(C5:C53)&amp;" items"</f>
        <v/>
      </c>
      <c r="K54" s="26" t="n"/>
      <c r="L54" s="26" t="n"/>
      <c r="M54" s="26" t="n"/>
      <c r="N54" s="26" t="n"/>
      <c r="O54" s="26" t="n"/>
      <c r="P54" s="26" t="n"/>
      <c r="Q54" s="28">
        <f>SUM(Q5:Q53)</f>
        <v/>
      </c>
      <c r="R54" s="28">
        <f>SUM(R5:R53)</f>
        <v/>
      </c>
      <c r="S54" s="29">
        <f>SUM(S5:S53)</f>
        <v/>
      </c>
      <c r="T54" s="26" t="n"/>
      <c r="U54" s="26" t="n"/>
      <c r="V54" s="26" t="n"/>
      <c r="W54" s="26" t="n"/>
      <c r="X54" s="26" t="n"/>
      <c r="Y54" s="30">
        <f>SUM(Y5:Y53)</f>
        <v/>
      </c>
      <c r="Z54" s="31">
        <f>SUM(Z5:Z53)</f>
        <v/>
      </c>
      <c r="AA54" s="26" t="n"/>
    </row>
    <row r="55" ht="15.75" customHeight="1" s="59"/>
    <row r="56" ht="15.75" customHeight="1" s="59">
      <c r="D56" s="5" t="n"/>
    </row>
    <row r="57" ht="31.5" customHeight="1" s="59">
      <c r="D57" s="8" t="n"/>
      <c r="E57" s="8" t="n"/>
      <c r="F57" s="8" t="n"/>
      <c r="G57" s="8" t="n"/>
      <c r="H57" s="8" t="n"/>
      <c r="I57" s="8" t="n"/>
      <c r="J57" s="8" t="inlineStr">
        <is>
          <t>COSTED</t>
        </is>
      </c>
      <c r="K57" s="8" t="n"/>
      <c r="L57" s="8" t="n"/>
      <c r="M57" s="8" t="n"/>
      <c r="N57" s="8" t="n"/>
      <c r="O57" s="8" t="n"/>
      <c r="P57" s="8" t="n"/>
      <c r="Q57" s="8" t="inlineStr">
        <is>
          <t>UNIT COST IDR, sum</t>
        </is>
      </c>
      <c r="R57" s="8" t="inlineStr">
        <is>
          <t>ORDER TOTAL IDR</t>
        </is>
      </c>
      <c r="S57" s="8" t="inlineStr">
        <is>
          <t>CARTON m³, sum</t>
        </is>
      </c>
      <c r="T57" s="8" t="n"/>
      <c r="U57" s="8" t="n"/>
      <c r="V57" s="8" t="n"/>
      <c r="W57" s="8" t="n"/>
      <c r="X57" s="8" t="n"/>
      <c r="Y57" s="8" t="inlineStr">
        <is>
          <t>SOLID WOOD m³, sum</t>
        </is>
      </c>
      <c r="Z57" s="8" t="inlineStr">
        <is>
          <t>FINISHING m², sum</t>
        </is>
      </c>
      <c r="AA57" s="8" t="n"/>
    </row>
    <row r="58" ht="15.75" customHeight="1" s="59">
      <c r="D58" s="13" t="n"/>
      <c r="E58" s="9" t="n"/>
      <c r="F58" s="9" t="n"/>
      <c r="G58" s="9" t="n"/>
      <c r="H58" s="9" t="n"/>
      <c r="I58" s="9" t="n"/>
      <c r="J58" s="9">
        <f>COUNTIFS($B$5:$B$53,$D58,$J$5:$J$53,"costed")</f>
        <v/>
      </c>
      <c r="K58" s="9" t="n"/>
      <c r="L58" s="9" t="n"/>
      <c r="M58" s="9" t="n"/>
      <c r="N58" s="9" t="n"/>
      <c r="O58" s="9" t="n"/>
      <c r="P58" s="9" t="n"/>
      <c r="Q58" s="32">
        <f>SUMIF($B$5:$B$53,$D58,Q$5:Q$53)</f>
        <v/>
      </c>
      <c r="R58" s="32">
        <f>SUMIF($B$5:$B$53,$D58,R$5:R$53)</f>
        <v/>
      </c>
      <c r="S58" s="33">
        <f>SUMIF($B$5:$B$53,$D58,S$5:S$53)</f>
        <v/>
      </c>
      <c r="T58" s="9" t="n"/>
      <c r="U58" s="9" t="n"/>
      <c r="V58" s="9" t="n"/>
      <c r="W58" s="9" t="n"/>
      <c r="X58" s="9" t="n"/>
      <c r="Y58" s="34">
        <f>SUMIF($B$5:$B$53,$D58,Y$5:Y$53)</f>
        <v/>
      </c>
      <c r="Z58" s="35">
        <f>SUMIF($B$5:$B$53,$D58,Z$5:Z$53)</f>
        <v/>
      </c>
      <c r="AA58" s="9" t="n"/>
    </row>
    <row r="59" ht="15.75" customHeight="1" s="59">
      <c r="D59" s="13" t="n"/>
      <c r="E59" s="9" t="n"/>
      <c r="F59" s="9" t="n"/>
      <c r="G59" s="9" t="n"/>
      <c r="H59" s="9" t="n"/>
      <c r="I59" s="9" t="n"/>
      <c r="J59" s="9">
        <f>COUNTIFS($B$5:$B$53,$D59,$J$5:$J$53,"costed")</f>
        <v/>
      </c>
      <c r="K59" s="9" t="n"/>
      <c r="L59" s="9" t="n"/>
      <c r="M59" s="9" t="n"/>
      <c r="N59" s="9" t="n"/>
      <c r="O59" s="9" t="n"/>
      <c r="P59" s="9" t="n"/>
      <c r="Q59" s="32">
        <f>SUMIF($B$5:$B$53,$D59,Q$5:Q$53)</f>
        <v/>
      </c>
      <c r="R59" s="32">
        <f>SUMIF($B$5:$B$53,$D59,R$5:R$53)</f>
        <v/>
      </c>
      <c r="S59" s="33">
        <f>SUMIF($B$5:$B$53,$D59,S$5:S$53)</f>
        <v/>
      </c>
      <c r="T59" s="9" t="n"/>
      <c r="U59" s="9" t="n"/>
      <c r="V59" s="9" t="n"/>
      <c r="W59" s="9" t="n"/>
      <c r="X59" s="9" t="n"/>
      <c r="Y59" s="34">
        <f>SUMIF($B$5:$B$53,$D59,Y$5:Y$53)</f>
        <v/>
      </c>
      <c r="Z59" s="35">
        <f>SUMIF($B$5:$B$53,$D59,Z$5:Z$53)</f>
        <v/>
      </c>
      <c r="AA59" s="9" t="n"/>
    </row>
    <row r="60" ht="15.75" customHeight="1" s="59">
      <c r="D60" s="13" t="n"/>
      <c r="E60" s="9" t="n"/>
      <c r="F60" s="9" t="n"/>
      <c r="G60" s="9" t="n"/>
      <c r="H60" s="9" t="n"/>
      <c r="I60" s="9" t="n"/>
      <c r="J60" s="9">
        <f>COUNTIFS($B$5:$B$53,$D60,$J$5:$J$53,"costed")</f>
        <v/>
      </c>
      <c r="K60" s="9" t="n"/>
      <c r="L60" s="9" t="n"/>
      <c r="M60" s="9" t="n"/>
      <c r="N60" s="9" t="n"/>
      <c r="O60" s="9" t="n"/>
      <c r="P60" s="9" t="n"/>
      <c r="Q60" s="32">
        <f>SUMIF($B$5:$B$53,$D60,Q$5:Q$53)</f>
        <v/>
      </c>
      <c r="R60" s="32">
        <f>SUMIF($B$5:$B$53,$D60,R$5:R$53)</f>
        <v/>
      </c>
      <c r="S60" s="33">
        <f>SUMIF($B$5:$B$53,$D60,S$5:S$53)</f>
        <v/>
      </c>
      <c r="T60" s="9" t="n"/>
      <c r="U60" s="9" t="n"/>
      <c r="V60" s="9" t="n"/>
      <c r="W60" s="9" t="n"/>
      <c r="X60" s="9" t="n"/>
      <c r="Y60" s="34">
        <f>SUMIF($B$5:$B$53,$D60,Y$5:Y$53)</f>
        <v/>
      </c>
      <c r="Z60" s="35">
        <f>SUMIF($B$5:$B$53,$D60,Z$5:Z$53)</f>
        <v/>
      </c>
      <c r="AA60" s="9" t="n"/>
    </row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2"/>
  <sheetViews>
    <sheetView workbookViewId="0">
      <selection activeCell="H27" sqref="H27"/>
    </sheetView>
  </sheetViews>
  <sheetFormatPr baseColWidth="8" defaultColWidth="14.42578125" defaultRowHeight="15" customHeight="1"/>
  <cols>
    <col width="5" customWidth="1" style="59" min="1" max="1"/>
    <col width="13" customWidth="1" style="59" min="2" max="2"/>
    <col width="30" customWidth="1" style="59" min="3" max="3"/>
    <col width="13" customWidth="1" style="59" min="4" max="4"/>
    <col width="9" customWidth="1" style="59" min="5" max="6"/>
    <col width="7" customWidth="1" style="59" min="7" max="7"/>
    <col width="9" customWidth="1" style="59" min="8" max="9"/>
    <col width="10" customWidth="1" style="59" min="10" max="10"/>
    <col width="26" customWidth="1" style="59" min="11" max="11"/>
    <col width="11" customWidth="1" style="59" min="12" max="14"/>
    <col width="10" customWidth="1" style="59" min="15" max="15"/>
    <col width="9" customWidth="1" style="59" min="16" max="16"/>
    <col width="14" customWidth="1" style="59" min="17" max="19"/>
    <col width="8.7109375" customWidth="1" style="59" min="20" max="26"/>
  </cols>
  <sheetData>
    <row r="1" ht="18" customHeight="1" s="59">
      <c r="A1" s="66" t="inlineStr">
        <is>
          <t>ITEM CODE</t>
        </is>
      </c>
      <c r="C1" s="7" t="n"/>
      <c r="D1" s="66" t="inlineStr">
        <is>
          <t>OVERALL L mm</t>
        </is>
      </c>
      <c r="G1" s="9">
        <f t="array" ref="G1">IFERROR(IF(INDEX(ITEMS!$E$5:$E$120,MATCH($C$1,ITEMS!$C$5:$C$120,0))="","",INDEX(ITEMS!$E$5:$E$120,MATCH($C$1,ITEMS!$C$5:$C$120,0))),"")</f>
        <v/>
      </c>
      <c r="H1" s="67" t="n"/>
      <c r="I1" s="67" t="n"/>
      <c r="J1" s="67" t="n"/>
      <c r="K1" s="68" t="n"/>
      <c r="L1" s="69">
        <f>IF(G6="","photo",_xludf.IMAGE(G6))</f>
        <v/>
      </c>
    </row>
    <row r="2" ht="18" customHeight="1" s="59">
      <c r="A2" s="66" t="inlineStr">
        <is>
          <t>ITEM NAME</t>
        </is>
      </c>
      <c r="C2" s="9">
        <f t="array" ref="C2">IFERROR(IF(INDEX(ITEMS!$D$5:$D$120,MATCH($C$1,ITEMS!$C$5:$C$120,0))="","",INDEX(ITEMS!$D$5:$D$120,MATCH($C$1,ITEMS!$C$5:$C$120,0))),"")</f>
        <v/>
      </c>
      <c r="D2" s="66" t="inlineStr">
        <is>
          <t>OVERALL W mm</t>
        </is>
      </c>
      <c r="G2" s="9">
        <f t="array" ref="G2">IFERROR(IF(INDEX(ITEMS!$F$5:$F$120,MATCH($C$1,ITEMS!$C$5:$C$120,0))="","",INDEX(ITEMS!$F$5:$F$120,MATCH($C$1,ITEMS!$C$5:$C$120,0))),"")</f>
        <v/>
      </c>
      <c r="H2" s="67" t="n"/>
      <c r="I2" s="67" t="n"/>
      <c r="J2" s="67" t="n"/>
      <c r="K2" s="68" t="n"/>
    </row>
    <row r="3" ht="18" customHeight="1" s="59">
      <c r="A3" s="66" t="inlineStr">
        <is>
          <t>COLLECTION / ROOM</t>
        </is>
      </c>
      <c r="C3" s="9">
        <f t="array" ref="C3">IFERROR(INDEX(ITEMS!$B$5:$B$120,MATCH($C$1,ITEMS!$C$5:$C$120,0))&amp;" / "&amp;INDEX(ITEMS!$W$5:$W$120,MATCH($C$1,ITEMS!$C$5:$C$120,0)),"")</f>
        <v/>
      </c>
      <c r="D3" s="66" t="inlineStr">
        <is>
          <t>OVERALL H mm</t>
        </is>
      </c>
      <c r="G3" s="9">
        <f t="array" ref="G3">IFERROR(IF(INDEX(ITEMS!$G$5:$G$120,MATCH($C$1,ITEMS!$C$5:$C$120,0))="","",INDEX(ITEMS!$G$5:$G$120,MATCH($C$1,ITEMS!$C$5:$C$120,0))),"")</f>
        <v/>
      </c>
      <c r="H3" s="67" t="n"/>
      <c r="I3" s="67" t="n"/>
      <c r="J3" s="67" t="n"/>
      <c r="K3" s="68" t="n"/>
    </row>
    <row r="4" ht="18" customHeight="1" s="59">
      <c r="A4" s="66" t="inlineStr">
        <is>
          <t>ORDER QTY</t>
        </is>
      </c>
      <c r="C4" s="9">
        <f t="array" ref="C4">IFERROR(IF(INDEX(ITEMS!$H$5:$H$120,MATCH($C$1,ITEMS!$C$5:$C$120,0))="","",INDEX(ITEMS!$H$5:$H$120,MATCH($C$1,ITEMS!$C$5:$C$120,0))),"")</f>
        <v/>
      </c>
      <c r="D4" s="66" t="inlineStr">
        <is>
          <t>DRAWING LINK</t>
        </is>
      </c>
      <c r="G4" s="9">
        <f t="array" ref="G4">IFERROR(IF(INDEX(ITEMS!$I$5:$I$120,MATCH($C$1,ITEMS!$C$5:$C$120,0))="","",INDEX(ITEMS!$I$5:$I$120,MATCH($C$1,ITEMS!$C$5:$C$120,0))),"")</f>
        <v/>
      </c>
      <c r="H4" s="67" t="n"/>
      <c r="I4" s="67" t="n"/>
      <c r="J4" s="67" t="n"/>
      <c r="K4" s="68" t="n"/>
    </row>
    <row r="5" ht="18" customHeight="1" s="59">
      <c r="A5" s="66" t="inlineStr">
        <is>
          <t>FINISH RECIPE</t>
        </is>
      </c>
      <c r="C5" s="10" t="n"/>
      <c r="D5" s="66" t="inlineStr">
        <is>
          <t>SPEC LINK</t>
        </is>
      </c>
      <c r="G5" s="9">
        <f t="array" ref="G5">IFERROR(IF(INDEX(ITEMS!$V$5:$V$120,MATCH($C$1,ITEMS!$C$5:$C$120,0))="","",INDEX(ITEMS!$V$5:$V$120,MATCH($C$1,ITEMS!$C$5:$C$120,0))),"")</f>
        <v/>
      </c>
      <c r="H5" s="67" t="n"/>
      <c r="I5" s="67" t="n"/>
      <c r="J5" s="67" t="n"/>
      <c r="K5" s="68" t="n"/>
    </row>
    <row r="6" ht="18" customHeight="1" s="59">
      <c r="A6" s="66" t="inlineStr">
        <is>
          <t>FLATPACK? (Y/N)</t>
        </is>
      </c>
      <c r="C6" s="10" t="n"/>
      <c r="D6" s="66" t="inlineStr">
        <is>
          <t>PHOTO LINK</t>
        </is>
      </c>
      <c r="G6" s="10" t="n"/>
      <c r="H6" s="67" t="n"/>
      <c r="I6" s="67" t="n"/>
      <c r="J6" s="67" t="n"/>
      <c r="K6" s="68" t="n"/>
    </row>
    <row r="7" ht="18" customHeight="1" s="59">
      <c r="A7" s="66" t="inlineStr">
        <is>
          <t>NOTES</t>
        </is>
      </c>
      <c r="C7" s="9">
        <f t="array" ref="C7">IFERROR(IF(INDEX(ITEMS!$X$5:$X$120,MATCH($C$1,ITEMS!$C$5:$C$120,0))="","",INDEX(ITEMS!$X$5:$X$120,MATCH($C$1,ITEMS!$C$5:$C$120,0))),"")</f>
        <v/>
      </c>
      <c r="D7" s="66" t="inlineStr">
        <is>
          <t>REVISION / DATE</t>
        </is>
      </c>
      <c r="G7" s="10" t="n"/>
      <c r="H7" s="67" t="n"/>
      <c r="I7" s="67" t="n"/>
      <c r="J7" s="67" t="n"/>
      <c r="K7" s="68" t="n"/>
    </row>
    <row r="8" ht="6" customHeight="1" s="59"/>
    <row r="9">
      <c r="A9" s="5" t="inlineStr">
        <is>
          <t>PACKING: assembled = leave boxes blank (system uses overall size + 40 mm as 1 carton). Flatpack = one row per box.</t>
        </is>
      </c>
    </row>
    <row r="10" ht="30" customHeight="1" s="59">
      <c r="A10" s="8" t="inlineStr">
        <is>
          <t>BOX</t>
        </is>
      </c>
      <c r="B10" s="8" t="inlineStr">
        <is>
          <t>CONTENTS</t>
        </is>
      </c>
      <c r="C10" s="68" t="n"/>
      <c r="D10" s="8" t="inlineStr">
        <is>
          <t>L mm</t>
        </is>
      </c>
      <c r="E10" s="8" t="inlineStr">
        <is>
          <t>W mm</t>
        </is>
      </c>
      <c r="F10" s="8" t="inlineStr">
        <is>
          <t>H mm</t>
        </is>
      </c>
      <c r="G10" s="8" t="inlineStr">
        <is>
          <t>QTY</t>
        </is>
      </c>
      <c r="H10" s="8" t="inlineStr">
        <is>
          <t>CARTON L</t>
        </is>
      </c>
      <c r="I10" s="8" t="inlineStr">
        <is>
          <t>CARTON W</t>
        </is>
      </c>
      <c r="J10" s="8" t="inlineStr">
        <is>
          <t>CARTON H</t>
        </is>
      </c>
      <c r="K10" s="8" t="n"/>
      <c r="L10" s="8" t="inlineStr">
        <is>
          <t>m² 6 sides (calc)</t>
        </is>
      </c>
      <c r="M10" s="8" t="inlineStr">
        <is>
          <t>m³ (calc)</t>
        </is>
      </c>
    </row>
    <row r="11">
      <c r="A11" s="13" t="n">
        <v>1</v>
      </c>
      <c r="B11" s="10" t="n"/>
      <c r="C11" s="68" t="n"/>
      <c r="D11" s="10" t="n"/>
      <c r="E11" s="10" t="n"/>
      <c r="F11" s="10" t="n"/>
      <c r="G11" s="10" t="n"/>
      <c r="H11" s="14">
        <f>IF(D11="","",D11+LISTS!$F$9)</f>
        <v/>
      </c>
      <c r="I11" s="14">
        <f>IF(E11="","",E11+LISTS!$F$9)</f>
        <v/>
      </c>
      <c r="J11" s="14">
        <f>IF(F11="","",F11+LISTS!$F$9)</f>
        <v/>
      </c>
      <c r="K11" s="15" t="n"/>
      <c r="L11" s="17">
        <f>IF(H11="","",2*(H11*I11+H11*J11+I11*J11)/1000000*IF(G11="",1,G11))</f>
        <v/>
      </c>
      <c r="M11" s="19">
        <f>IF(H11="","",H11*I11*J11/1000000000*IF(G11="",1,G11))</f>
        <v/>
      </c>
    </row>
    <row r="12">
      <c r="A12" s="13" t="n">
        <v>2</v>
      </c>
      <c r="B12" s="10" t="n"/>
      <c r="C12" s="68" t="n"/>
      <c r="D12" s="10" t="n"/>
      <c r="E12" s="10" t="n"/>
      <c r="F12" s="10" t="n"/>
      <c r="G12" s="10" t="n"/>
      <c r="H12" s="14">
        <f>IF(D12="","",D12+LISTS!$F$9)</f>
        <v/>
      </c>
      <c r="I12" s="14">
        <f>IF(E12="","",E12+LISTS!$F$9)</f>
        <v/>
      </c>
      <c r="J12" s="14">
        <f>IF(F12="","",F12+LISTS!$F$9)</f>
        <v/>
      </c>
      <c r="K12" s="15" t="n"/>
      <c r="L12" s="17">
        <f>IF(H12="","",2*(H12*I12+H12*J12+I12*J12)/1000000*IF(G12="",1,G12))</f>
        <v/>
      </c>
      <c r="M12" s="19">
        <f>IF(H12="","",H12*I12*J12/1000000000*IF(G12="",1,G12))</f>
        <v/>
      </c>
    </row>
    <row r="13">
      <c r="A13" s="13" t="n">
        <v>3</v>
      </c>
      <c r="B13" s="10" t="n"/>
      <c r="C13" s="68" t="n"/>
      <c r="D13" s="10" t="n"/>
      <c r="E13" s="10" t="n"/>
      <c r="F13" s="10" t="n"/>
      <c r="G13" s="10" t="n"/>
      <c r="H13" s="14">
        <f>IF(D13="","",D13+LISTS!$F$9)</f>
        <v/>
      </c>
      <c r="I13" s="14">
        <f>IF(E13="","",E13+LISTS!$F$9)</f>
        <v/>
      </c>
      <c r="J13" s="14">
        <f>IF(F13="","",F13+LISTS!$F$9)</f>
        <v/>
      </c>
      <c r="K13" s="15" t="n"/>
      <c r="L13" s="17">
        <f>IF(H13="","",2*(H13*I13+H13*J13+I13*J13)/1000000*IF(G13="",1,G13))</f>
        <v/>
      </c>
      <c r="M13" s="19">
        <f>IF(H13="","",H13*I13*J13/1000000000*IF(G13="",1,G13))</f>
        <v/>
      </c>
    </row>
    <row r="14">
      <c r="A14" s="13" t="n">
        <v>4</v>
      </c>
      <c r="B14" s="10" t="n"/>
      <c r="C14" s="68" t="n"/>
      <c r="D14" s="10" t="n"/>
      <c r="E14" s="10" t="n"/>
      <c r="F14" s="10" t="n"/>
      <c r="G14" s="10" t="n"/>
      <c r="H14" s="14">
        <f>IF(D14="","",D14+LISTS!$F$9)</f>
        <v/>
      </c>
      <c r="I14" s="14">
        <f>IF(E14="","",E14+LISTS!$F$9)</f>
        <v/>
      </c>
      <c r="J14" s="14">
        <f>IF(F14="","",F14+LISTS!$F$9)</f>
        <v/>
      </c>
      <c r="K14" s="15" t="n"/>
      <c r="L14" s="17">
        <f>IF(H14="","",2*(H14*I14+H14*J14+I14*J14)/1000000*IF(G14="",1,G14))</f>
        <v/>
      </c>
      <c r="M14" s="19">
        <f>IF(H14="","",H14*I14*J14/1000000000*IF(G14="",1,G14))</f>
        <v/>
      </c>
    </row>
    <row r="15">
      <c r="A15" s="13" t="inlineStr">
        <is>
          <t>TOTAL</t>
        </is>
      </c>
      <c r="B15" s="15" t="n"/>
      <c r="C15" s="15" t="n"/>
      <c r="D15" s="15" t="n"/>
      <c r="E15" s="15" t="n"/>
      <c r="F15" s="15" t="n"/>
      <c r="G15" s="22">
        <f>IF(D11="",1,SUM(G11:G14)+COUNTIFS(D11:D14,"&lt;&gt;",G11:G14,""))</f>
        <v/>
      </c>
      <c r="H15" s="9" t="inlineStr">
        <is>
          <t>cartons</t>
        </is>
      </c>
      <c r="I15" s="15" t="n"/>
      <c r="J15" s="15" t="n"/>
      <c r="K15" s="15" t="n"/>
      <c r="L15" s="23">
        <f>IF(D11="",IF(OR(G1="",G2="",G3=""),0,2*((G1+LISTS!$F$9)*(G2+LISTS!$F$9)+(G1+LISTS!$F$9)*(G3+LISTS!$F$9)+(G2+LISTS!$F$9)*(G3+LISTS!$F$9))/1000000),SUM(L11:L14))</f>
        <v/>
      </c>
      <c r="M15" s="24">
        <f>IF(D11="",IF(OR(G1="",G2="",G3=""),0,(G1+LISTS!$F$9)*(G2+LISTS!$F$9)*(G3+LISTS!$F$9)/1000000000),SUM(M11:M14))</f>
        <v/>
      </c>
    </row>
    <row r="16">
      <c r="A16" s="5" t="inlineStr">
        <is>
          <t>SOLID WOOD: one line per component, mm, qty per ONE item</t>
        </is>
      </c>
    </row>
    <row r="17" ht="31.5" customHeight="1" s="59">
      <c r="A17" s="8" t="inlineStr">
        <is>
          <t>NO</t>
        </is>
      </c>
      <c r="B17" s="8" t="inlineStr">
        <is>
          <t>MATERIAL</t>
        </is>
      </c>
      <c r="C17" s="47" t="inlineStr">
        <is>
          <t>LABEL</t>
        </is>
      </c>
      <c r="D17" s="8" t="inlineStr">
        <is>
          <t>COMPONENT</t>
        </is>
      </c>
      <c r="E17" s="8" t="inlineStr">
        <is>
          <t>L mm</t>
        </is>
      </c>
      <c r="F17" s="8" t="inlineStr">
        <is>
          <t>W mm</t>
        </is>
      </c>
      <c r="G17" s="8" t="inlineStr">
        <is>
          <t>T mm</t>
        </is>
      </c>
      <c r="H17" s="8" t="inlineStr">
        <is>
          <t>QTY</t>
        </is>
      </c>
      <c r="I17" s="8" t="inlineStr">
        <is>
          <t>EXPOSED Y/N</t>
        </is>
      </c>
      <c r="J17" s="8" t="inlineStr">
        <is>
          <t>CURVED Y/N</t>
        </is>
      </c>
      <c r="K17" s="8" t="inlineStr">
        <is>
          <t>TIER OVERRIDE</t>
        </is>
      </c>
      <c r="L17" s="8" t="inlineStr">
        <is>
          <t>NOTE</t>
        </is>
      </c>
      <c r="M17" s="8" t="inlineStr">
        <is>
          <t>VOL m³ (calc)</t>
        </is>
      </c>
      <c r="N17" s="8" t="inlineStr">
        <is>
          <t>FACE m² (calc)</t>
        </is>
      </c>
      <c r="O17" s="8" t="inlineStr">
        <is>
          <t>AUTO TIER (calc)</t>
        </is>
      </c>
      <c r="P17" s="8" t="n"/>
      <c r="Q17" s="8" t="n"/>
      <c r="R17" s="8" t="inlineStr">
        <is>
          <t>CHECK (calc)</t>
        </is>
      </c>
      <c r="S17" s="8" t="inlineStr">
        <is>
          <t>RATE (system)</t>
        </is>
      </c>
      <c r="T17" s="8" t="inlineStr">
        <is>
          <t>COST IDR (system)</t>
        </is>
      </c>
    </row>
    <row r="18">
      <c r="A18" s="9" t="n">
        <v>1</v>
      </c>
      <c r="B18" s="10" t="n"/>
      <c r="C18" s="48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25">
        <f>IF(OR(E18="",F18="",G18=""),"",E18*F18*G18/1000000000*IF(H18="",1,H18))</f>
        <v/>
      </c>
      <c r="N18" s="19">
        <f>IF(OR(E18="",F18=""),"",E18*F18/1000000*IF(H18="",1,H18))</f>
        <v/>
      </c>
      <c r="O18" s="14">
        <f>IF(E18="","",IF(K18&lt;&gt;"",K18,IF(AND(E18*F18*G18/1000000000&lt;LISTS!$F$4,MAX(E18,F18,G18)&lt;LISTS!$F$5),"D",IF(I18="N","C",IF(J18="Y","A-CURVED",IF(AND(MEDIAN(E18,F18,G18)&lt;=LISTS!$F$10,MAX(E18,F18,G18)&lt;=LISTS!$F$11),"B",IF(MAX(E18,F18,G18)&gt;=LISTS!$F$3,"A","B")))))))</f>
        <v/>
      </c>
      <c r="P18" s="14" t="n"/>
      <c r="Q18" s="14" t="n"/>
      <c r="R18" s="14">
        <f>IF(E18="","",IF(B18="","material?",IF(OR(F18="",G18=""),"size?",IF(I18="","exposed Y/N?",IF(H18="","qty?",IF(B18="OTHER","OTHER: no rate, price it under hardware","OK"))))))</f>
        <v/>
      </c>
      <c r="S18" s="12">
        <f t="array" ref="S18">IF(OR(O18="",M18=""),"",IF(B18="MERANTI",RATES!$C$45,IFERROR(INDEX(RATES!$C:$C,MATCH(B18&amp;"_"&amp;SUBSTITUTE(O18,"-CURVED","C"),RATES!$A:$A,0)),"rate?")))</f>
        <v/>
      </c>
      <c r="T18" s="12">
        <f>IF(ISNUMBER(S18),M18*S18,"")</f>
        <v/>
      </c>
    </row>
    <row r="19">
      <c r="A19" s="9" t="n">
        <v>2</v>
      </c>
      <c r="B19" s="10" t="n"/>
      <c r="C19" s="48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25">
        <f>IF(OR(E19="",F19="",G19=""),"",E19*F19*G19/1000000000*IF(H19="",1,H19))</f>
        <v/>
      </c>
      <c r="N19" s="19">
        <f>IF(OR(E19="",F19=""),"",E19*F19/1000000*IF(H19="",1,H19))</f>
        <v/>
      </c>
      <c r="O19" s="14">
        <f>IF(E19="","",IF(K19&lt;&gt;"",K19,IF(AND(E19*F19*G19/1000000000&lt;LISTS!$F$4,MAX(E19,F19,G19)&lt;LISTS!$F$5),"D",IF(I19="N","C",IF(J19="Y","A-CURVED",IF(AND(MEDIAN(E19,F19,G19)&lt;=LISTS!$F$10,MAX(E19,F19,G19)&lt;=LISTS!$F$11),"B",IF(MAX(E19,F19,G19)&gt;=LISTS!$F$3,"A","B")))))))</f>
        <v/>
      </c>
      <c r="P19" s="14" t="n"/>
      <c r="Q19" s="14" t="n"/>
      <c r="R19" s="14">
        <f>IF(E19="","",IF(B19="","material?",IF(OR(F19="",G19=""),"size?",IF(I19="","exposed Y/N?",IF(H19="","qty?",IF(B19="OTHER","OTHER: no rate, price it under hardware","OK"))))))</f>
        <v/>
      </c>
      <c r="S19" s="12">
        <f t="array" ref="S19">IF(OR(O19="",M19=""),"",IF(B19="MERANTI",RATES!$C$45,IFERROR(INDEX(RATES!$C:$C,MATCH(B19&amp;"_"&amp;SUBSTITUTE(O19,"-CURVED","C"),RATES!$A:$A,0)),"rate?")))</f>
        <v/>
      </c>
      <c r="T19" s="12">
        <f>IF(ISNUMBER(S19),M19*S19,"")</f>
        <v/>
      </c>
    </row>
    <row r="20">
      <c r="A20" s="9" t="n">
        <v>3</v>
      </c>
      <c r="B20" s="10" t="n"/>
      <c r="C20" s="48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25">
        <f>IF(OR(E20="",F20="",G20=""),"",E20*F20*G20/1000000000*IF(H20="",1,H20))</f>
        <v/>
      </c>
      <c r="N20" s="19">
        <f>IF(OR(E20="",F20=""),"",E20*F20/1000000*IF(H20="",1,H20))</f>
        <v/>
      </c>
      <c r="O20" s="14">
        <f>IF(E20="","",IF(K20&lt;&gt;"",K20,IF(AND(E20*F20*G20/1000000000&lt;LISTS!$F$4,MAX(E20,F20,G20)&lt;LISTS!$F$5),"D",IF(I20="N","C",IF(J20="Y","A-CURVED",IF(AND(MEDIAN(E20,F20,G20)&lt;=LISTS!$F$10,MAX(E20,F20,G20)&lt;=LISTS!$F$11),"B",IF(MAX(E20,F20,G20)&gt;=LISTS!$F$3,"A","B")))))))</f>
        <v/>
      </c>
      <c r="P20" s="14" t="n"/>
      <c r="Q20" s="14" t="n"/>
      <c r="R20" s="14">
        <f>IF(E20="","",IF(B20="","material?",IF(OR(F20="",G20=""),"size?",IF(I20="","exposed Y/N?",IF(H20="","qty?",IF(B20="OTHER","OTHER: no rate, price it under hardware","OK"))))))</f>
        <v/>
      </c>
      <c r="S20" s="12">
        <f t="array" ref="S20">IF(OR(O20="",M20=""),"",IF(B20="MERANTI",RATES!$C$45,IFERROR(INDEX(RATES!$C:$C,MATCH(B20&amp;"_"&amp;SUBSTITUTE(O20,"-CURVED","C"),RATES!$A:$A,0)),"rate?")))</f>
        <v/>
      </c>
      <c r="T20" s="12">
        <f>IF(ISNUMBER(S20),M20*S20,"")</f>
        <v/>
      </c>
    </row>
    <row r="21" ht="15.75" customHeight="1" s="59">
      <c r="A21" s="9" t="n">
        <v>4</v>
      </c>
      <c r="B21" s="10" t="n"/>
      <c r="C21" s="48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25">
        <f>IF(OR(E21="",F21="",G21=""),"",E21*F21*G21/1000000000*IF(H21="",1,H21))</f>
        <v/>
      </c>
      <c r="N21" s="19">
        <f>IF(OR(E21="",F21=""),"",E21*F21/1000000*IF(H21="",1,H21))</f>
        <v/>
      </c>
      <c r="O21" s="14">
        <f>IF(E21="","",IF(K21&lt;&gt;"",K21,IF(AND(E21*F21*G21/1000000000&lt;LISTS!$F$4,MAX(E21,F21,G21)&lt;LISTS!$F$5),"D",IF(I21="N","C",IF(J21="Y","A-CURVED",IF(AND(MEDIAN(E21,F21,G21)&lt;=LISTS!$F$10,MAX(E21,F21,G21)&lt;=LISTS!$F$11),"B",IF(MAX(E21,F21,G21)&gt;=LISTS!$F$3,"A","B")))))))</f>
        <v/>
      </c>
      <c r="P21" s="14" t="n"/>
      <c r="Q21" s="14" t="n"/>
      <c r="R21" s="14">
        <f>IF(E21="","",IF(B21="","material?",IF(OR(F21="",G21=""),"size?",IF(I21="","exposed Y/N?",IF(H21="","qty?",IF(B21="OTHER","OTHER: no rate, price it under hardware","OK"))))))</f>
        <v/>
      </c>
      <c r="S21" s="12">
        <f t="array" ref="S21">IF(OR(O21="",M21=""),"",IF(B21="MERANTI",RATES!$C$45,IFERROR(INDEX(RATES!$C:$C,MATCH(B21&amp;"_"&amp;SUBSTITUTE(O21,"-CURVED","C"),RATES!$A:$A,0)),"rate?")))</f>
        <v/>
      </c>
      <c r="T21" s="12">
        <f>IF(ISNUMBER(S21),M21*S21,"")</f>
        <v/>
      </c>
    </row>
    <row r="22" ht="15.75" customHeight="1" s="59">
      <c r="A22" s="9" t="n">
        <v>5</v>
      </c>
      <c r="B22" s="10" t="n"/>
      <c r="C22" s="48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25">
        <f>IF(OR(E22="",F22="",G22=""),"",E22*F22*G22/1000000000*IF(H22="",1,H22))</f>
        <v/>
      </c>
      <c r="N22" s="19">
        <f>IF(OR(E22="",F22=""),"",E22*F22/1000000*IF(H22="",1,H22))</f>
        <v/>
      </c>
      <c r="O22" s="14">
        <f>IF(E22="","",IF(K22&lt;&gt;"",K22,IF(AND(E22*F22*G22/1000000000&lt;LISTS!$F$4,MAX(E22,F22,G22)&lt;LISTS!$F$5),"D",IF(I22="N","C",IF(J22="Y","A-CURVED",IF(AND(MEDIAN(E22,F22,G22)&lt;=LISTS!$F$10,MAX(E22,F22,G22)&lt;=LISTS!$F$11),"B",IF(MAX(E22,F22,G22)&gt;=LISTS!$F$3,"A","B")))))))</f>
        <v/>
      </c>
      <c r="P22" s="14" t="n"/>
      <c r="Q22" s="14" t="n"/>
      <c r="R22" s="14">
        <f>IF(E22="","",IF(B22="","material?",IF(OR(F22="",G22=""),"size?",IF(I22="","exposed Y/N?",IF(H22="","qty?",IF(B22="OTHER","OTHER: no rate, price it under hardware","OK"))))))</f>
        <v/>
      </c>
      <c r="S22" s="12">
        <f t="array" ref="S22">IF(OR(O22="",M22=""),"",IF(B22="MERANTI",RATES!$C$45,IFERROR(INDEX(RATES!$C:$C,MATCH(B22&amp;"_"&amp;SUBSTITUTE(O22,"-CURVED","C"),RATES!$A:$A,0)),"rate?")))</f>
        <v/>
      </c>
      <c r="T22" s="12">
        <f>IF(ISNUMBER(S22),M22*S22,"")</f>
        <v/>
      </c>
    </row>
    <row r="23" ht="15.75" customHeight="1" s="59">
      <c r="A23" s="9" t="n">
        <v>6</v>
      </c>
      <c r="B23" s="10" t="n"/>
      <c r="C23" s="48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25">
        <f>IF(OR(E23="",F23="",G23=""),"",E23*F23*G23/1000000000*IF(H23="",1,H23))</f>
        <v/>
      </c>
      <c r="N23" s="19">
        <f>IF(OR(E23="",F23=""),"",E23*F23/1000000*IF(H23="",1,H23))</f>
        <v/>
      </c>
      <c r="O23" s="14">
        <f>IF(E23="","",IF(K23&lt;&gt;"",K23,IF(AND(E23*F23*G23/1000000000&lt;LISTS!$F$4,MAX(E23,F23,G23)&lt;LISTS!$F$5),"D",IF(I23="N","C",IF(J23="Y","A-CURVED",IF(AND(MEDIAN(E23,F23,G23)&lt;=LISTS!$F$10,MAX(E23,F23,G23)&lt;=LISTS!$F$11),"B",IF(MAX(E23,F23,G23)&gt;=LISTS!$F$3,"A","B")))))))</f>
        <v/>
      </c>
      <c r="P23" s="14" t="n"/>
      <c r="Q23" s="14" t="n"/>
      <c r="R23" s="14">
        <f>IF(E23="","",IF(B23="","material?",IF(OR(F23="",G23=""),"size?",IF(I23="","exposed Y/N?",IF(H23="","qty?",IF(B23="OTHER","OTHER: no rate, price it under hardware","OK"))))))</f>
        <v/>
      </c>
      <c r="S23" s="12">
        <f t="array" ref="S23">IF(OR(O23="",M23=""),"",IF(B23="MERANTI",RATES!$C$45,IFERROR(INDEX(RATES!$C:$C,MATCH(B23&amp;"_"&amp;SUBSTITUTE(O23,"-CURVED","C"),RATES!$A:$A,0)),"rate?")))</f>
        <v/>
      </c>
      <c r="T23" s="12">
        <f>IF(ISNUMBER(S23),M23*S23,"")</f>
        <v/>
      </c>
    </row>
    <row r="24" ht="15.75" customHeight="1" s="59">
      <c r="A24" s="9" t="n">
        <v>7</v>
      </c>
      <c r="B24" s="10" t="n"/>
      <c r="C24" s="48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25">
        <f>IF(OR(E24="",F24="",G24=""),"",E24*F24*G24/1000000000*IF(H24="",1,H24))</f>
        <v/>
      </c>
      <c r="N24" s="19">
        <f>IF(OR(E24="",F24=""),"",E24*F24/1000000*IF(H24="",1,H24))</f>
        <v/>
      </c>
      <c r="O24" s="14">
        <f>IF(E24="","",IF(K24&lt;&gt;"",K24,IF(AND(E24*F24*G24/1000000000&lt;LISTS!$F$4,MAX(E24,F24,G24)&lt;LISTS!$F$5),"D",IF(I24="N","C",IF(J24="Y","A-CURVED",IF(AND(MEDIAN(E24,F24,G24)&lt;=LISTS!$F$10,MAX(E24,F24,G24)&lt;=LISTS!$F$11),"B",IF(MAX(E24,F24,G24)&gt;=LISTS!$F$3,"A","B")))))))</f>
        <v/>
      </c>
      <c r="P24" s="14" t="n"/>
      <c r="Q24" s="14" t="n"/>
      <c r="R24" s="14">
        <f>IF(E24="","",IF(B24="","material?",IF(OR(F24="",G24=""),"size?",IF(I24="","exposed Y/N?",IF(H24="","qty?",IF(B24="OTHER","OTHER: no rate, price it under hardware","OK"))))))</f>
        <v/>
      </c>
      <c r="S24" s="12">
        <f t="array" ref="S24">IF(OR(O24="",M24=""),"",IF(B24="MERANTI",RATES!$C$45,IFERROR(INDEX(RATES!$C:$C,MATCH(B24&amp;"_"&amp;SUBSTITUTE(O24,"-CURVED","C"),RATES!$A:$A,0)),"rate?")))</f>
        <v/>
      </c>
      <c r="T24" s="12">
        <f>IF(ISNUMBER(S24),M24*S24,"")</f>
        <v/>
      </c>
    </row>
    <row r="25" ht="15.75" customHeight="1" s="59">
      <c r="A25" s="9" t="n">
        <v>8</v>
      </c>
      <c r="B25" s="10" t="n"/>
      <c r="C25" s="48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25">
        <f>IF(OR(E25="",F25="",G25=""),"",E25*F25*G25/1000000000*IF(H25="",1,H25))</f>
        <v/>
      </c>
      <c r="N25" s="19">
        <f>IF(OR(E25="",F25=""),"",E25*F25/1000000*IF(H25="",1,H25))</f>
        <v/>
      </c>
      <c r="O25" s="14">
        <f>IF(E25="","",IF(K25&lt;&gt;"",K25,IF(AND(E25*F25*G25/1000000000&lt;LISTS!$F$4,MAX(E25,F25,G25)&lt;LISTS!$F$5),"D",IF(I25="N","C",IF(J25="Y","A-CURVED",IF(AND(MEDIAN(E25,F25,G25)&lt;=LISTS!$F$10,MAX(E25,F25,G25)&lt;=LISTS!$F$11),"B",IF(MAX(E25,F25,G25)&gt;=LISTS!$F$3,"A","B")))))))</f>
        <v/>
      </c>
      <c r="P25" s="14" t="n"/>
      <c r="Q25" s="14" t="n"/>
      <c r="R25" s="14">
        <f>IF(E25="","",IF(B25="","material?",IF(OR(F25="",G25=""),"size?",IF(I25="","exposed Y/N?",IF(H25="","qty?",IF(B25="OTHER","OTHER: no rate, price it under hardware","OK"))))))</f>
        <v/>
      </c>
      <c r="S25" s="12">
        <f t="array" ref="S25">IF(OR(O25="",M25=""),"",IF(B25="MERANTI",RATES!$C$45,IFERROR(INDEX(RATES!$C:$C,MATCH(B25&amp;"_"&amp;SUBSTITUTE(O25,"-CURVED","C"),RATES!$A:$A,0)),"rate?")))</f>
        <v/>
      </c>
      <c r="T25" s="12">
        <f>IF(ISNUMBER(S25),M25*S25,"")</f>
        <v/>
      </c>
    </row>
    <row r="26" ht="15.75" customHeight="1" s="59">
      <c r="A26" s="9" t="n">
        <v>9</v>
      </c>
      <c r="B26" s="10" t="n"/>
      <c r="C26" s="48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25">
        <f>IF(OR(E26="",F26="",G26=""),"",E26*F26*G26/1000000000*IF(H26="",1,H26))</f>
        <v/>
      </c>
      <c r="N26" s="19">
        <f>IF(OR(E26="",F26=""),"",E26*F26/1000000*IF(H26="",1,H26))</f>
        <v/>
      </c>
      <c r="O26" s="14">
        <f>IF(E26="","",IF(K26&lt;&gt;"",K26,IF(AND(E26*F26*G26/1000000000&lt;LISTS!$F$4,MAX(E26,F26,G26)&lt;LISTS!$F$5),"D",IF(I26="N","C",IF(J26="Y","A-CURVED",IF(AND(MEDIAN(E26,F26,G26)&lt;=LISTS!$F$10,MAX(E26,F26,G26)&lt;=LISTS!$F$11),"B",IF(MAX(E26,F26,G26)&gt;=LISTS!$F$3,"A","B")))))))</f>
        <v/>
      </c>
      <c r="P26" s="14" t="n"/>
      <c r="Q26" s="14" t="n"/>
      <c r="R26" s="14">
        <f>IF(E26="","",IF(B26="","material?",IF(OR(F26="",G26=""),"size?",IF(I26="","exposed Y/N?",IF(H26="","qty?",IF(B26="OTHER","OTHER: no rate, price it under hardware","OK"))))))</f>
        <v/>
      </c>
      <c r="S26" s="12">
        <f t="array" ref="S26">IF(OR(O26="",M26=""),"",IF(B26="MERANTI",RATES!$C$45,IFERROR(INDEX(RATES!$C:$C,MATCH(B26&amp;"_"&amp;SUBSTITUTE(O26,"-CURVED","C"),RATES!$A:$A,0)),"rate?")))</f>
        <v/>
      </c>
      <c r="T26" s="12">
        <f>IF(ISNUMBER(S26),M26*S26,"")</f>
        <v/>
      </c>
    </row>
    <row r="27" ht="15.75" customHeight="1" s="59">
      <c r="A27" s="9" t="n">
        <v>10</v>
      </c>
      <c r="B27" s="10" t="n"/>
      <c r="C27" s="48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25">
        <f>IF(OR(E27="",F27="",G27=""),"",E27*F27*G27/1000000000*IF(H27="",1,H27))</f>
        <v/>
      </c>
      <c r="N27" s="19">
        <f>IF(OR(E27="",F27=""),"",E27*F27/1000000*IF(H27="",1,H27))</f>
        <v/>
      </c>
      <c r="O27" s="14">
        <f>IF(E27="","",IF(K27&lt;&gt;"",K27,IF(AND(E27*F27*G27/1000000000&lt;LISTS!$F$4,MAX(E27,F27,G27)&lt;LISTS!$F$5),"D",IF(I27="N","C",IF(J27="Y","A-CURVED",IF(AND(MEDIAN(E27,F27,G27)&lt;=LISTS!$F$10,MAX(E27,F27,G27)&lt;=LISTS!$F$11),"B",IF(MAX(E27,F27,G27)&gt;=LISTS!$F$3,"A","B")))))))</f>
        <v/>
      </c>
      <c r="P27" s="14" t="n"/>
      <c r="Q27" s="14" t="n"/>
      <c r="R27" s="14">
        <f>IF(E27="","",IF(B27="","material?",IF(OR(F27="",G27=""),"size?",IF(I27="","exposed Y/N?",IF(H27="","qty?",IF(B27="OTHER","OTHER: no rate, price it under hardware","OK"))))))</f>
        <v/>
      </c>
      <c r="S27" s="12">
        <f t="array" ref="S27">IF(OR(O27="",M27=""),"",IF(B27="MERANTI",RATES!$C$45,IFERROR(INDEX(RATES!$C:$C,MATCH(B27&amp;"_"&amp;SUBSTITUTE(O27,"-CURVED","C"),RATES!$A:$A,0)),"rate?")))</f>
        <v/>
      </c>
      <c r="T27" s="12">
        <f>IF(ISNUMBER(S27),M27*S27,"")</f>
        <v/>
      </c>
    </row>
    <row r="28" ht="15.75" customHeight="1" s="59">
      <c r="A28" s="9" t="n">
        <v>11</v>
      </c>
      <c r="B28" s="10" t="n"/>
      <c r="C28" s="48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25">
        <f>IF(OR(E28="",F28="",G28=""),"",E28*F28*G28/1000000000*IF(H28="",1,H28))</f>
        <v/>
      </c>
      <c r="N28" s="19">
        <f>IF(OR(E28="",F28=""),"",E28*F28/1000000*IF(H28="",1,H28))</f>
        <v/>
      </c>
      <c r="O28" s="14">
        <f>IF(E28="","",IF(K28&lt;&gt;"",K28,IF(AND(E28*F28*G28/1000000000&lt;LISTS!$F$4,MAX(E28,F28,G28)&lt;LISTS!$F$5),"D",IF(I28="N","C",IF(J28="Y","A-CURVED",IF(AND(MEDIAN(E28,F28,G28)&lt;=LISTS!$F$10,MAX(E28,F28,G28)&lt;=LISTS!$F$11),"B",IF(MAX(E28,F28,G28)&gt;=LISTS!$F$3,"A","B")))))))</f>
        <v/>
      </c>
      <c r="P28" s="14" t="n"/>
      <c r="Q28" s="14" t="n"/>
      <c r="R28" s="14">
        <f>IF(E28="","",IF(B28="","material?",IF(OR(F28="",G28=""),"size?",IF(I28="","exposed Y/N?",IF(H28="","qty?",IF(B28="OTHER","OTHER: no rate, price it under hardware","OK"))))))</f>
        <v/>
      </c>
      <c r="S28" s="12">
        <f t="array" ref="S28">IF(OR(O28="",M28=""),"",IF(B28="MERANTI",RATES!$C$45,IFERROR(INDEX(RATES!$C:$C,MATCH(B28&amp;"_"&amp;SUBSTITUTE(O28,"-CURVED","C"),RATES!$A:$A,0)),"rate?")))</f>
        <v/>
      </c>
      <c r="T28" s="12">
        <f>IF(ISNUMBER(S28),M28*S28,"")</f>
        <v/>
      </c>
    </row>
    <row r="29" ht="15.75" customHeight="1" s="59">
      <c r="A29" s="9" t="n">
        <v>12</v>
      </c>
      <c r="B29" s="10" t="n"/>
      <c r="C29" s="48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25">
        <f>IF(OR(E29="",F29="",G29=""),"",E29*F29*G29/1000000000*IF(H29="",1,H29))</f>
        <v/>
      </c>
      <c r="N29" s="19">
        <f>IF(OR(E29="",F29=""),"",E29*F29/1000000*IF(H29="",1,H29))</f>
        <v/>
      </c>
      <c r="O29" s="14">
        <f>IF(E29="","",IF(K29&lt;&gt;"",K29,IF(AND(E29*F29*G29/1000000000&lt;LISTS!$F$4,MAX(E29,F29,G29)&lt;LISTS!$F$5),"D",IF(I29="N","C",IF(J29="Y","A-CURVED",IF(AND(MEDIAN(E29,F29,G29)&lt;=LISTS!$F$10,MAX(E29,F29,G29)&lt;=LISTS!$F$11),"B",IF(MAX(E29,F29,G29)&gt;=LISTS!$F$3,"A","B")))))))</f>
        <v/>
      </c>
      <c r="P29" s="14" t="n"/>
      <c r="Q29" s="14" t="n"/>
      <c r="R29" s="14">
        <f>IF(E29="","",IF(B29="","material?",IF(OR(F29="",G29=""),"size?",IF(I29="","exposed Y/N?",IF(H29="","qty?",IF(B29="OTHER","OTHER: no rate, price it under hardware","OK"))))))</f>
        <v/>
      </c>
      <c r="S29" s="12">
        <f t="array" ref="S29">IF(OR(O29="",M29=""),"",IF(B29="MERANTI",RATES!$C$45,IFERROR(INDEX(RATES!$C:$C,MATCH(B29&amp;"_"&amp;SUBSTITUTE(O29,"-CURVED","C"),RATES!$A:$A,0)),"rate?")))</f>
        <v/>
      </c>
      <c r="T29" s="12">
        <f>IF(ISNUMBER(S29),M29*S29,"")</f>
        <v/>
      </c>
    </row>
    <row r="30" ht="15.75" customHeight="1" s="59">
      <c r="A30" s="9" t="n">
        <v>13</v>
      </c>
      <c r="B30" s="10" t="n"/>
      <c r="C30" s="48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25">
        <f>IF(OR(E30="",F30="",G30=""),"",E30*F30*G30/1000000000*IF(H30="",1,H30))</f>
        <v/>
      </c>
      <c r="N30" s="19">
        <f>IF(OR(E30="",F30=""),"",E30*F30/1000000*IF(H30="",1,H30))</f>
        <v/>
      </c>
      <c r="O30" s="14">
        <f>IF(E30="","",IF(K30&lt;&gt;"",K30,IF(AND(E30*F30*G30/1000000000&lt;LISTS!$F$4,MAX(E30,F30,G30)&lt;LISTS!$F$5),"D",IF(I30="N","C",IF(J30="Y","A-CURVED",IF(AND(MEDIAN(E30,F30,G30)&lt;=LISTS!$F$10,MAX(E30,F30,G30)&lt;=LISTS!$F$11),"B",IF(MAX(E30,F30,G30)&gt;=LISTS!$F$3,"A","B")))))))</f>
        <v/>
      </c>
      <c r="P30" s="14" t="n"/>
      <c r="Q30" s="14" t="n"/>
      <c r="R30" s="14">
        <f>IF(E30="","",IF(B30="","material?",IF(OR(F30="",G30=""),"size?",IF(I30="","exposed Y/N?",IF(H30="","qty?",IF(B30="OTHER","OTHER: no rate, price it under hardware","OK"))))))</f>
        <v/>
      </c>
      <c r="S30" s="12">
        <f t="array" ref="S30">IF(OR(O30="",M30=""),"",IF(B30="MERANTI",RATES!$C$45,IFERROR(INDEX(RATES!$C:$C,MATCH(B30&amp;"_"&amp;SUBSTITUTE(O30,"-CURVED","C"),RATES!$A:$A,0)),"rate?")))</f>
        <v/>
      </c>
      <c r="T30" s="12">
        <f>IF(ISNUMBER(S30),M30*S30,"")</f>
        <v/>
      </c>
    </row>
    <row r="31" ht="15.75" customHeight="1" s="59">
      <c r="A31" s="9" t="n">
        <v>14</v>
      </c>
      <c r="B31" s="10" t="n"/>
      <c r="C31" s="48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25">
        <f>IF(OR(E31="",F31="",G31=""),"",E31*F31*G31/1000000000*IF(H31="",1,H31))</f>
        <v/>
      </c>
      <c r="N31" s="19">
        <f>IF(OR(E31="",F31=""),"",E31*F31/1000000*IF(H31="",1,H31))</f>
        <v/>
      </c>
      <c r="O31" s="14">
        <f>IF(E31="","",IF(K31&lt;&gt;"",K31,IF(AND(E31*F31*G31/1000000000&lt;LISTS!$F$4,MAX(E31,F31,G31)&lt;LISTS!$F$5),"D",IF(I31="N","C",IF(J31="Y","A-CURVED",IF(AND(MEDIAN(E31,F31,G31)&lt;=LISTS!$F$10,MAX(E31,F31,G31)&lt;=LISTS!$F$11),"B",IF(MAX(E31,F31,G31)&gt;=LISTS!$F$3,"A","B")))))))</f>
        <v/>
      </c>
      <c r="P31" s="14" t="n"/>
      <c r="Q31" s="14" t="n"/>
      <c r="R31" s="14">
        <f>IF(E31="","",IF(B31="","material?",IF(OR(F31="",G31=""),"size?",IF(I31="","exposed Y/N?",IF(H31="","qty?",IF(B31="OTHER","OTHER: no rate, price it under hardware","OK"))))))</f>
        <v/>
      </c>
      <c r="S31" s="12">
        <f t="array" ref="S31">IF(OR(O31="",M31=""),"",IF(B31="MERANTI",RATES!$C$45,IFERROR(INDEX(RATES!$C:$C,MATCH(B31&amp;"_"&amp;SUBSTITUTE(O31,"-CURVED","C"),RATES!$A:$A,0)),"rate?")))</f>
        <v/>
      </c>
      <c r="T31" s="12">
        <f>IF(ISNUMBER(S31),M31*S31,"")</f>
        <v/>
      </c>
    </row>
    <row r="32" ht="15.75" customHeight="1" s="59">
      <c r="A32" s="9" t="n">
        <v>15</v>
      </c>
      <c r="B32" s="10" t="n"/>
      <c r="C32" s="48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25">
        <f>IF(OR(E32="",F32="",G32=""),"",E32*F32*G32/1000000000*IF(H32="",1,H32))</f>
        <v/>
      </c>
      <c r="N32" s="19">
        <f>IF(OR(E32="",F32=""),"",E32*F32/1000000*IF(H32="",1,H32))</f>
        <v/>
      </c>
      <c r="O32" s="14">
        <f>IF(E32="","",IF(K32&lt;&gt;"",K32,IF(AND(E32*F32*G32/1000000000&lt;LISTS!$F$4,MAX(E32,F32,G32)&lt;LISTS!$F$5),"D",IF(I32="N","C",IF(J32="Y","A-CURVED",IF(AND(MEDIAN(E32,F32,G32)&lt;=LISTS!$F$10,MAX(E32,F32,G32)&lt;=LISTS!$F$11),"B",IF(MAX(E32,F32,G32)&gt;=LISTS!$F$3,"A","B")))))))</f>
        <v/>
      </c>
      <c r="P32" s="14" t="n"/>
      <c r="Q32" s="14" t="n"/>
      <c r="R32" s="14">
        <f>IF(E32="","",IF(B32="","material?",IF(OR(F32="",G32=""),"size?",IF(I32="","exposed Y/N?",IF(H32="","qty?",IF(B32="OTHER","OTHER: no rate, price it under hardware","OK"))))))</f>
        <v/>
      </c>
      <c r="S32" s="12">
        <f t="array" ref="S32">IF(OR(O32="",M32=""),"",IF(B32="MERANTI",RATES!$C$45,IFERROR(INDEX(RATES!$C:$C,MATCH(B32&amp;"_"&amp;SUBSTITUTE(O32,"-CURVED","C"),RATES!$A:$A,0)),"rate?")))</f>
        <v/>
      </c>
      <c r="T32" s="12">
        <f>IF(ISNUMBER(S32),M32*S32,"")</f>
        <v/>
      </c>
    </row>
    <row r="33" ht="15.75" customHeight="1" s="59">
      <c r="A33" s="9" t="n">
        <v>16</v>
      </c>
      <c r="B33" s="10" t="n"/>
      <c r="C33" s="48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25">
        <f>IF(OR(E33="",F33="",G33=""),"",E33*F33*G33/1000000000*IF(H33="",1,H33))</f>
        <v/>
      </c>
      <c r="N33" s="19">
        <f>IF(OR(E33="",F33=""),"",E33*F33/1000000*IF(H33="",1,H33))</f>
        <v/>
      </c>
      <c r="O33" s="14">
        <f>IF(E33="","",IF(K33&lt;&gt;"",K33,IF(AND(E33*F33*G33/1000000000&lt;LISTS!$F$4,MAX(E33,F33,G33)&lt;LISTS!$F$5),"D",IF(I33="N","C",IF(J33="Y","A-CURVED",IF(AND(MEDIAN(E33,F33,G33)&lt;=LISTS!$F$10,MAX(E33,F33,G33)&lt;=LISTS!$F$11),"B",IF(MAX(E33,F33,G33)&gt;=LISTS!$F$3,"A","B")))))))</f>
        <v/>
      </c>
      <c r="P33" s="14" t="n"/>
      <c r="Q33" s="14" t="n"/>
      <c r="R33" s="14">
        <f>IF(E33="","",IF(B33="","material?",IF(OR(F33="",G33=""),"size?",IF(I33="","exposed Y/N?",IF(H33="","qty?",IF(B33="OTHER","OTHER: no rate, price it under hardware","OK"))))))</f>
        <v/>
      </c>
      <c r="S33" s="12">
        <f t="array" ref="S33">IF(OR(O33="",M33=""),"",IF(B33="MERANTI",RATES!$C$45,IFERROR(INDEX(RATES!$C:$C,MATCH(B33&amp;"_"&amp;SUBSTITUTE(O33,"-CURVED","C"),RATES!$A:$A,0)),"rate?")))</f>
        <v/>
      </c>
      <c r="T33" s="12">
        <f>IF(ISNUMBER(S33),M33*S33,"")</f>
        <v/>
      </c>
    </row>
    <row r="34" ht="15.75" customHeight="1" s="59">
      <c r="A34" s="9" t="n">
        <v>17</v>
      </c>
      <c r="B34" s="10" t="n"/>
      <c r="C34" s="48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25">
        <f>IF(OR(E34="",F34="",G34=""),"",E34*F34*G34/1000000000*IF(H34="",1,H34))</f>
        <v/>
      </c>
      <c r="N34" s="19">
        <f>IF(OR(E34="",F34=""),"",E34*F34/1000000*IF(H34="",1,H34))</f>
        <v/>
      </c>
      <c r="O34" s="14">
        <f>IF(E34="","",IF(K34&lt;&gt;"",K34,IF(AND(E34*F34*G34/1000000000&lt;LISTS!$F$4,MAX(E34,F34,G34)&lt;LISTS!$F$5),"D",IF(I34="N","C",IF(J34="Y","A-CURVED",IF(AND(MEDIAN(E34,F34,G34)&lt;=LISTS!$F$10,MAX(E34,F34,G34)&lt;=LISTS!$F$11),"B",IF(MAX(E34,F34,G34)&gt;=LISTS!$F$3,"A","B")))))))</f>
        <v/>
      </c>
      <c r="P34" s="14" t="n"/>
      <c r="Q34" s="14" t="n"/>
      <c r="R34" s="14">
        <f>IF(E34="","",IF(B34="","material?",IF(OR(F34="",G34=""),"size?",IF(I34="","exposed Y/N?",IF(H34="","qty?",IF(B34="OTHER","OTHER: no rate, price it under hardware","OK"))))))</f>
        <v/>
      </c>
      <c r="S34" s="12">
        <f t="array" ref="S34">IF(OR(O34="",M34=""),"",IF(B34="MERANTI",RATES!$C$45,IFERROR(INDEX(RATES!$C:$C,MATCH(B34&amp;"_"&amp;SUBSTITUTE(O34,"-CURVED","C"),RATES!$A:$A,0)),"rate?")))</f>
        <v/>
      </c>
      <c r="T34" s="12">
        <f>IF(ISNUMBER(S34),M34*S34,"")</f>
        <v/>
      </c>
    </row>
    <row r="35" ht="15.75" customHeight="1" s="59">
      <c r="A35" s="9" t="n">
        <v>18</v>
      </c>
      <c r="B35" s="10" t="n"/>
      <c r="C35" s="48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25">
        <f>IF(OR(E35="",F35="",G35=""),"",E35*F35*G35/1000000000*IF(H35="",1,H35))</f>
        <v/>
      </c>
      <c r="N35" s="19">
        <f>IF(OR(E35="",F35=""),"",E35*F35/1000000*IF(H35="",1,H35))</f>
        <v/>
      </c>
      <c r="O35" s="14">
        <f>IF(E35="","",IF(K35&lt;&gt;"",K35,IF(AND(E35*F35*G35/1000000000&lt;LISTS!$F$4,MAX(E35,F35,G35)&lt;LISTS!$F$5),"D",IF(I35="N","C",IF(J35="Y","A-CURVED",IF(AND(MEDIAN(E35,F35,G35)&lt;=LISTS!$F$10,MAX(E35,F35,G35)&lt;=LISTS!$F$11),"B",IF(MAX(E35,F35,G35)&gt;=LISTS!$F$3,"A","B")))))))</f>
        <v/>
      </c>
      <c r="P35" s="14" t="n"/>
      <c r="Q35" s="14" t="n"/>
      <c r="R35" s="14">
        <f>IF(E35="","",IF(B35="","material?",IF(OR(F35="",G35=""),"size?",IF(I35="","exposed Y/N?",IF(H35="","qty?",IF(B35="OTHER","OTHER: no rate, price it under hardware","OK"))))))</f>
        <v/>
      </c>
      <c r="S35" s="12">
        <f t="array" ref="S35">IF(OR(O35="",M35=""),"",IF(B35="MERANTI",RATES!$C$45,IFERROR(INDEX(RATES!$C:$C,MATCH(B35&amp;"_"&amp;SUBSTITUTE(O35,"-CURVED","C"),RATES!$A:$A,0)),"rate?")))</f>
        <v/>
      </c>
      <c r="T35" s="12">
        <f>IF(ISNUMBER(S35),M35*S35,"")</f>
        <v/>
      </c>
    </row>
    <row r="36" ht="15.75" customHeight="1" s="59">
      <c r="A36" s="9" t="n">
        <v>19</v>
      </c>
      <c r="B36" s="10" t="n"/>
      <c r="C36" s="48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25">
        <f>IF(OR(E36="",F36="",G36=""),"",E36*F36*G36/1000000000*IF(H36="",1,H36))</f>
        <v/>
      </c>
      <c r="N36" s="19">
        <f>IF(OR(E36="",F36=""),"",E36*F36/1000000*IF(H36="",1,H36))</f>
        <v/>
      </c>
      <c r="O36" s="14">
        <f>IF(E36="","",IF(K36&lt;&gt;"",K36,IF(AND(E36*F36*G36/1000000000&lt;LISTS!$F$4,MAX(E36,F36,G36)&lt;LISTS!$F$5),"D",IF(I36="N","C",IF(J36="Y","A-CURVED",IF(AND(MEDIAN(E36,F36,G36)&lt;=LISTS!$F$10,MAX(E36,F36,G36)&lt;=LISTS!$F$11),"B",IF(MAX(E36,F36,G36)&gt;=LISTS!$F$3,"A","B")))))))</f>
        <v/>
      </c>
      <c r="P36" s="14" t="n"/>
      <c r="Q36" s="14" t="n"/>
      <c r="R36" s="14">
        <f>IF(E36="","",IF(B36="","material?",IF(OR(F36="",G36=""),"size?",IF(I36="","exposed Y/N?",IF(H36="","qty?",IF(B36="OTHER","OTHER: no rate, price it under hardware","OK"))))))</f>
        <v/>
      </c>
      <c r="S36" s="12">
        <f t="array" ref="S36">IF(OR(O36="",M36=""),"",IF(B36="MERANTI",RATES!$C$45,IFERROR(INDEX(RATES!$C:$C,MATCH(B36&amp;"_"&amp;SUBSTITUTE(O36,"-CURVED","C"),RATES!$A:$A,0)),"rate?")))</f>
        <v/>
      </c>
      <c r="T36" s="12">
        <f>IF(ISNUMBER(S36),M36*S36,"")</f>
        <v/>
      </c>
    </row>
    <row r="37" ht="15.75" customHeight="1" s="59">
      <c r="A37" s="9" t="n">
        <v>20</v>
      </c>
      <c r="B37" s="10" t="n"/>
      <c r="C37" s="48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25">
        <f>IF(OR(E37="",F37="",G37=""),"",E37*F37*G37/1000000000*IF(H37="",1,H37))</f>
        <v/>
      </c>
      <c r="N37" s="19">
        <f>IF(OR(E37="",F37=""),"",E37*F37/1000000*IF(H37="",1,H37))</f>
        <v/>
      </c>
      <c r="O37" s="14">
        <f>IF(E37="","",IF(K37&lt;&gt;"",K37,IF(AND(E37*F37*G37/1000000000&lt;LISTS!$F$4,MAX(E37,F37,G37)&lt;LISTS!$F$5),"D",IF(I37="N","C",IF(J37="Y","A-CURVED",IF(AND(MEDIAN(E37,F37,G37)&lt;=LISTS!$F$10,MAX(E37,F37,G37)&lt;=LISTS!$F$11),"B",IF(MAX(E37,F37,G37)&gt;=LISTS!$F$3,"A","B")))))))</f>
        <v/>
      </c>
      <c r="P37" s="14" t="n"/>
      <c r="Q37" s="14" t="n"/>
      <c r="R37" s="14">
        <f>IF(E37="","",IF(B37="","material?",IF(OR(F37="",G37=""),"size?",IF(I37="","exposed Y/N?",IF(H37="","qty?",IF(B37="OTHER","OTHER: no rate, price it under hardware","OK"))))))</f>
        <v/>
      </c>
      <c r="S37" s="12">
        <f t="array" ref="S37">IF(OR(O37="",M37=""),"",IF(B37="MERANTI",RATES!$C$45,IFERROR(INDEX(RATES!$C:$C,MATCH(B37&amp;"_"&amp;SUBSTITUTE(O37,"-CURVED","C"),RATES!$A:$A,0)),"rate?")))</f>
        <v/>
      </c>
      <c r="T37" s="12">
        <f>IF(ISNUMBER(S37),M37*S37,"")</f>
        <v/>
      </c>
    </row>
    <row r="38" ht="15.75" customHeight="1" s="59">
      <c r="A38" s="9" t="n">
        <v>21</v>
      </c>
      <c r="B38" s="10" t="n"/>
      <c r="C38" s="48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25">
        <f>IF(OR(E38="",F38="",G38=""),"",E38*F38*G38/1000000000*IF(H38="",1,H38))</f>
        <v/>
      </c>
      <c r="N38" s="19">
        <f>IF(OR(E38="",F38=""),"",E38*F38/1000000*IF(H38="",1,H38))</f>
        <v/>
      </c>
      <c r="O38" s="14">
        <f>IF(E38="","",IF(K38&lt;&gt;"",K38,IF(AND(E38*F38*G38/1000000000&lt;LISTS!$F$4,MAX(E38,F38,G38)&lt;LISTS!$F$5),"D",IF(I38="N","C",IF(J38="Y","A-CURVED",IF(AND(MEDIAN(E38,F38,G38)&lt;=LISTS!$F$10,MAX(E38,F38,G38)&lt;=LISTS!$F$11),"B",IF(MAX(E38,F38,G38)&gt;=LISTS!$F$3,"A","B")))))))</f>
        <v/>
      </c>
      <c r="P38" s="14" t="n"/>
      <c r="Q38" s="14" t="n"/>
      <c r="R38" s="14">
        <f>IF(E38="","",IF(B38="","material?",IF(OR(F38="",G38=""),"size?",IF(I38="","exposed Y/N?",IF(H38="","qty?",IF(B38="OTHER","OTHER: no rate, price it under hardware","OK"))))))</f>
        <v/>
      </c>
      <c r="S38" s="12">
        <f t="array" ref="S38">IF(OR(O38="",M38=""),"",IF(B38="MERANTI",RATES!$C$45,IFERROR(INDEX(RATES!$C:$C,MATCH(B38&amp;"_"&amp;SUBSTITUTE(O38,"-CURVED","C"),RATES!$A:$A,0)),"rate?")))</f>
        <v/>
      </c>
      <c r="T38" s="12">
        <f>IF(ISNUMBER(S38),M38*S38,"")</f>
        <v/>
      </c>
    </row>
    <row r="39" ht="15.75" customHeight="1" s="59">
      <c r="A39" s="9" t="n">
        <v>22</v>
      </c>
      <c r="B39" s="10" t="n"/>
      <c r="C39" s="48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25">
        <f>IF(OR(E39="",F39="",G39=""),"",E39*F39*G39/1000000000*IF(H39="",1,H39))</f>
        <v/>
      </c>
      <c r="N39" s="19">
        <f>IF(OR(E39="",F39=""),"",E39*F39/1000000*IF(H39="",1,H39))</f>
        <v/>
      </c>
      <c r="O39" s="14">
        <f>IF(E39="","",IF(K39&lt;&gt;"",K39,IF(AND(E39*F39*G39/1000000000&lt;LISTS!$F$4,MAX(E39,F39,G39)&lt;LISTS!$F$5),"D",IF(I39="N","C",IF(J39="Y","A-CURVED",IF(AND(MEDIAN(E39,F39,G39)&lt;=LISTS!$F$10,MAX(E39,F39,G39)&lt;=LISTS!$F$11),"B",IF(MAX(E39,F39,G39)&gt;=LISTS!$F$3,"A","B")))))))</f>
        <v/>
      </c>
      <c r="P39" s="14" t="n"/>
      <c r="Q39" s="14" t="n"/>
      <c r="R39" s="14">
        <f>IF(E39="","",IF(B39="","material?",IF(OR(F39="",G39=""),"size?",IF(I39="","exposed Y/N?",IF(H39="","qty?",IF(B39="OTHER","OTHER: no rate, price it under hardware","OK"))))))</f>
        <v/>
      </c>
      <c r="S39" s="12">
        <f t="array" ref="S39">IF(OR(O39="",M39=""),"",IF(B39="MERANTI",RATES!$C$45,IFERROR(INDEX(RATES!$C:$C,MATCH(B39&amp;"_"&amp;SUBSTITUTE(O39,"-CURVED","C"),RATES!$A:$A,0)),"rate?")))</f>
        <v/>
      </c>
      <c r="T39" s="12">
        <f>IF(ISNUMBER(S39),M39*S39,"")</f>
        <v/>
      </c>
    </row>
    <row r="40" ht="15.75" customHeight="1" s="59">
      <c r="A40" s="9" t="n">
        <v>23</v>
      </c>
      <c r="B40" s="10" t="n"/>
      <c r="C40" s="48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25">
        <f>IF(OR(E40="",F40="",G40=""),"",E40*F40*G40/1000000000*IF(H40="",1,H40))</f>
        <v/>
      </c>
      <c r="N40" s="19">
        <f>IF(OR(E40="",F40=""),"",E40*F40/1000000*IF(H40="",1,H40))</f>
        <v/>
      </c>
      <c r="O40" s="14">
        <f>IF(E40="","",IF(K40&lt;&gt;"",K40,IF(AND(E40*F40*G40/1000000000&lt;LISTS!$F$4,MAX(E40,F40,G40)&lt;LISTS!$F$5),"D",IF(I40="N","C",IF(J40="Y","A-CURVED",IF(AND(MEDIAN(E40,F40,G40)&lt;=LISTS!$F$10,MAX(E40,F40,G40)&lt;=LISTS!$F$11),"B",IF(MAX(E40,F40,G40)&gt;=LISTS!$F$3,"A","B")))))))</f>
        <v/>
      </c>
      <c r="P40" s="14" t="n"/>
      <c r="Q40" s="14" t="n"/>
      <c r="R40" s="14">
        <f>IF(E40="","",IF(B40="","material?",IF(OR(F40="",G40=""),"size?",IF(I40="","exposed Y/N?",IF(H40="","qty?",IF(B40="OTHER","OTHER: no rate, price it under hardware","OK"))))))</f>
        <v/>
      </c>
      <c r="S40" s="12">
        <f t="array" ref="S40">IF(OR(O40="",M40=""),"",IF(B40="MERANTI",RATES!$C$45,IFERROR(INDEX(RATES!$C:$C,MATCH(B40&amp;"_"&amp;SUBSTITUTE(O40,"-CURVED","C"),RATES!$A:$A,0)),"rate?")))</f>
        <v/>
      </c>
      <c r="T40" s="12">
        <f>IF(ISNUMBER(S40),M40*S40,"")</f>
        <v/>
      </c>
    </row>
    <row r="41" ht="15.75" customHeight="1" s="59">
      <c r="A41" s="9" t="n">
        <v>24</v>
      </c>
      <c r="B41" s="10" t="n"/>
      <c r="C41" s="48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25">
        <f>IF(OR(E41="",F41="",G41=""),"",E41*F41*G41/1000000000*IF(H41="",1,H41))</f>
        <v/>
      </c>
      <c r="N41" s="19">
        <f>IF(OR(E41="",F41=""),"",E41*F41/1000000*IF(H41="",1,H41))</f>
        <v/>
      </c>
      <c r="O41" s="14">
        <f>IF(E41="","",IF(K41&lt;&gt;"",K41,IF(AND(E41*F41*G41/1000000000&lt;LISTS!$F$4,MAX(E41,F41,G41)&lt;LISTS!$F$5),"D",IF(I41="N","C",IF(J41="Y","A-CURVED",IF(AND(MEDIAN(E41,F41,G41)&lt;=LISTS!$F$10,MAX(E41,F41,G41)&lt;=LISTS!$F$11),"B",IF(MAX(E41,F41,G41)&gt;=LISTS!$F$3,"A","B")))))))</f>
        <v/>
      </c>
      <c r="P41" s="14" t="n"/>
      <c r="Q41" s="14" t="n"/>
      <c r="R41" s="14">
        <f>IF(E41="","",IF(B41="","material?",IF(OR(F41="",G41=""),"size?",IF(I41="","exposed Y/N?",IF(H41="","qty?",IF(B41="OTHER","OTHER: no rate, price it under hardware","OK"))))))</f>
        <v/>
      </c>
      <c r="S41" s="12">
        <f t="array" ref="S41">IF(OR(O41="",M41=""),"",IF(B41="MERANTI",RATES!$C$45,IFERROR(INDEX(RATES!$C:$C,MATCH(B41&amp;"_"&amp;SUBSTITUTE(O41,"-CURVED","C"),RATES!$A:$A,0)),"rate?")))</f>
        <v/>
      </c>
      <c r="T41" s="12">
        <f>IF(ISNUMBER(S41),M41*S41,"")</f>
        <v/>
      </c>
    </row>
    <row r="42" ht="15.75" customHeight="1" s="59">
      <c r="A42" s="9" t="n">
        <v>25</v>
      </c>
      <c r="B42" s="10" t="n"/>
      <c r="C42" s="48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25">
        <f>IF(OR(E42="",F42="",G42=""),"",E42*F42*G42/1000000000*IF(H42="",1,H42))</f>
        <v/>
      </c>
      <c r="N42" s="19">
        <f>IF(OR(E42="",F42=""),"",E42*F42/1000000*IF(H42="",1,H42))</f>
        <v/>
      </c>
      <c r="O42" s="14">
        <f>IF(E42="","",IF(K42&lt;&gt;"",K42,IF(AND(E42*F42*G42/1000000000&lt;LISTS!$F$4,MAX(E42,F42,G42)&lt;LISTS!$F$5),"D",IF(I42="N","C",IF(J42="Y","A-CURVED",IF(AND(MEDIAN(E42,F42,G42)&lt;=LISTS!$F$10,MAX(E42,F42,G42)&lt;=LISTS!$F$11),"B",IF(MAX(E42,F42,G42)&gt;=LISTS!$F$3,"A","B")))))))</f>
        <v/>
      </c>
      <c r="P42" s="14" t="n"/>
      <c r="Q42" s="14" t="n"/>
      <c r="R42" s="14">
        <f>IF(E42="","",IF(B42="","material?",IF(OR(F42="",G42=""),"size?",IF(I42="","exposed Y/N?",IF(H42="","qty?",IF(B42="OTHER","OTHER: no rate, price it under hardware","OK"))))))</f>
        <v/>
      </c>
      <c r="S42" s="12">
        <f t="array" ref="S42">IF(OR(O42="",M42=""),"",IF(B42="MERANTI",RATES!$C$45,IFERROR(INDEX(RATES!$C:$C,MATCH(B42&amp;"_"&amp;SUBSTITUTE(O42,"-CURVED","C"),RATES!$A:$A,0)),"rate?")))</f>
        <v/>
      </c>
      <c r="T42" s="12">
        <f>IF(ISNUMBER(S42),M42*S42,"")</f>
        <v/>
      </c>
    </row>
    <row r="43" ht="15.75" customHeight="1" s="59"/>
    <row r="44" ht="15.75" customHeight="1" s="59">
      <c r="A44" s="5" t="inlineStr">
        <is>
          <t>PANELS: one line per panel, L × W in mm, T = board thickness, qty per item. No size (round, oversize, laminated): enter SHEETS (manual)</t>
        </is>
      </c>
    </row>
    <row r="45" ht="31.5" customHeight="1" s="59">
      <c r="A45" s="8" t="inlineStr">
        <is>
          <t>NO</t>
        </is>
      </c>
      <c r="B45" s="8" t="inlineStr">
        <is>
          <t>PANEL TYPE</t>
        </is>
      </c>
      <c r="C45" s="47" t="inlineStr">
        <is>
          <t>LABEL</t>
        </is>
      </c>
      <c r="D45" s="8" t="inlineStr">
        <is>
          <t>COMPONENT</t>
        </is>
      </c>
      <c r="E45" s="8" t="inlineStr">
        <is>
          <t>L mm</t>
        </is>
      </c>
      <c r="F45" s="8" t="inlineStr">
        <is>
          <t>W mm</t>
        </is>
      </c>
      <c r="G45" s="8" t="inlineStr">
        <is>
          <t>T mm</t>
        </is>
      </c>
      <c r="H45" s="8" t="inlineStr">
        <is>
          <t>QTY</t>
        </is>
      </c>
      <c r="I45" s="8" t="inlineStr">
        <is>
          <t>EXPOSED FACES (0/1/2)</t>
        </is>
      </c>
      <c r="J45" s="8" t="n"/>
      <c r="K45" s="8" t="inlineStr">
        <is>
          <t>SHEETS (manual)</t>
        </is>
      </c>
      <c r="L45" s="8" t="inlineStr">
        <is>
          <t>NOTE</t>
        </is>
      </c>
      <c r="M45" s="8" t="inlineStr">
        <is>
          <t>VOL m³ (calc)</t>
        </is>
      </c>
      <c r="N45" s="8" t="inlineStr">
        <is>
          <t>FACE m² (calc)</t>
        </is>
      </c>
      <c r="O45" s="8" t="inlineStr">
        <is>
          <t>PIECES/SHEET (calc)</t>
        </is>
      </c>
      <c r="P45" s="8" t="inlineStr">
        <is>
          <t>SHEETS (calc)</t>
        </is>
      </c>
      <c r="Q45" s="8" t="inlineStr">
        <is>
          <t>WASTE % (calc)</t>
        </is>
      </c>
      <c r="R45" s="8" t="inlineStr">
        <is>
          <t>CHECK (calc)</t>
        </is>
      </c>
      <c r="S45" s="8" t="inlineStr">
        <is>
          <t>RATE (system)</t>
        </is>
      </c>
      <c r="T45" s="8" t="inlineStr">
        <is>
          <t>COST IDR (system)</t>
        </is>
      </c>
    </row>
    <row r="46" ht="15.75" customHeight="1" s="59">
      <c r="A46" s="9" t="n">
        <v>1</v>
      </c>
      <c r="B46" s="10" t="n"/>
      <c r="C46" s="48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25">
        <f>IF(OR(E46="",F46="",G46=""),"",E46*F46*G46/1000000000*IF(H46="",1,H46))</f>
        <v/>
      </c>
      <c r="N46" s="19">
        <f>IF(OR(E46="",F46=""),"",E46*F46/1000000*IF(H46="",1,H46))</f>
        <v/>
      </c>
      <c r="O46" s="14">
        <f>IF(OR(E46="",F46=""),"",MAX(INT(LISTS!$F$6/(E46+LISTS!$F$8))*INT(LISTS!$F$7/(F46+LISTS!$F$8)),INT(LISTS!$F$6/(F46+LISTS!$F$8))*INT(LISTS!$F$7/(E46+LISTS!$F$8))))</f>
        <v/>
      </c>
      <c r="P46" s="19">
        <f>IF(K46&lt;&gt;"",K46,IF(OR(O46="",O46=0),"",IF(H46="",1,H46)/O46))</f>
        <v/>
      </c>
      <c r="Q46" s="36">
        <f>IF(OR(K46&lt;&gt;"",P46=""),"",1-(IF(H46="",1,H46)*E46*F46)/(ROUNDUP(P46,0)*LISTS!$F$6*LISTS!$F$7))</f>
        <v/>
      </c>
      <c r="R46" s="14">
        <f>IF(AND(E46="",K46=""),"",IF(B46="","panel type?",IF(AND(K46="",O46=0),"panel bigger than sheet",IF(AND(G46&lt;&gt;"",IFERROR(VALUE(MID(B46,5,FIND("-",B46,5)-5)),0)&lt;&gt;G46),"T must match panel type",IF(I46="","exposed faces?","OK")))))</f>
        <v/>
      </c>
      <c r="S46" s="12">
        <f t="array" ref="S46">IF(OR(B46="",P46=""),"",IFERROR(INDEX(RATES!$C:$C,MATCH(B46,RATES!$A:$A,0)),"rate?"))</f>
        <v/>
      </c>
      <c r="T46" s="12">
        <f>IF(ISNUMBER(S46),IF(K46&lt;&gt;"",K46,IF(Q46&gt;RATES!$C$97,P46*(1+RATES!$C$98),ROUNDUP(P46,0)))*S46,"")</f>
        <v/>
      </c>
    </row>
    <row r="47" ht="15.75" customHeight="1" s="59">
      <c r="A47" s="9" t="n">
        <v>2</v>
      </c>
      <c r="B47" s="10" t="n"/>
      <c r="C47" s="48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25">
        <f>IF(OR(E47="",F47="",G47=""),"",E47*F47*G47/1000000000*IF(H47="",1,H47))</f>
        <v/>
      </c>
      <c r="N47" s="19">
        <f>IF(OR(E47="",F47=""),"",E47*F47/1000000*IF(H47="",1,H47))</f>
        <v/>
      </c>
      <c r="O47" s="14">
        <f>IF(OR(E47="",F47=""),"",MAX(INT(LISTS!$F$6/(E47+LISTS!$F$8))*INT(LISTS!$F$7/(F47+LISTS!$F$8)),INT(LISTS!$F$6/(F47+LISTS!$F$8))*INT(LISTS!$F$7/(E47+LISTS!$F$8))))</f>
        <v/>
      </c>
      <c r="P47" s="19">
        <f>IF(K47&lt;&gt;"",K47,IF(OR(O47="",O47=0),"",IF(H47="",1,H47)/O47))</f>
        <v/>
      </c>
      <c r="Q47" s="36">
        <f>IF(OR(K47&lt;&gt;"",P47=""),"",1-(IF(H47="",1,H47)*E47*F47)/(ROUNDUP(P47,0)*LISTS!$F$6*LISTS!$F$7))</f>
        <v/>
      </c>
      <c r="R47" s="14">
        <f>IF(AND(E47="",K47=""),"",IF(B47="","panel type?",IF(AND(K47="",O47=0),"panel bigger than sheet",IF(AND(G47&lt;&gt;"",IFERROR(VALUE(MID(B47,5,FIND("-",B47,5)-5)),0)&lt;&gt;G47),"T must match panel type",IF(I47="","exposed faces?","OK")))))</f>
        <v/>
      </c>
      <c r="S47" s="12">
        <f t="array" ref="S47">IF(OR(B47="",P47=""),"",IFERROR(INDEX(RATES!$C:$C,MATCH(B47,RATES!$A:$A,0)),"rate?"))</f>
        <v/>
      </c>
      <c r="T47" s="12">
        <f>IF(ISNUMBER(S47),IF(K47&lt;&gt;"",K47,IF(Q47&gt;RATES!$C$97,P47*(1+RATES!$C$98),ROUNDUP(P47,0)))*S47,"")</f>
        <v/>
      </c>
    </row>
    <row r="48" ht="15.75" customHeight="1" s="59">
      <c r="A48" s="9" t="n">
        <v>3</v>
      </c>
      <c r="B48" s="10" t="n"/>
      <c r="C48" s="48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25">
        <f>IF(OR(E48="",F48="",G48=""),"",E48*F48*G48/1000000000*IF(H48="",1,H48))</f>
        <v/>
      </c>
      <c r="N48" s="19">
        <f>IF(OR(E48="",F48=""),"",E48*F48/1000000*IF(H48="",1,H48))</f>
        <v/>
      </c>
      <c r="O48" s="14">
        <f>IF(OR(E48="",F48=""),"",MAX(INT(LISTS!$F$6/(E48+LISTS!$F$8))*INT(LISTS!$F$7/(F48+LISTS!$F$8)),INT(LISTS!$F$6/(F48+LISTS!$F$8))*INT(LISTS!$F$7/(E48+LISTS!$F$8))))</f>
        <v/>
      </c>
      <c r="P48" s="19">
        <f>IF(K48&lt;&gt;"",K48,IF(OR(O48="",O48=0),"",IF(H48="",1,H48)/O48))</f>
        <v/>
      </c>
      <c r="Q48" s="36">
        <f>IF(OR(K48&lt;&gt;"",P48=""),"",1-(IF(H48="",1,H48)*E48*F48)/(ROUNDUP(P48,0)*LISTS!$F$6*LISTS!$F$7))</f>
        <v/>
      </c>
      <c r="R48" s="14">
        <f>IF(AND(E48="",K48=""),"",IF(B48="","panel type?",IF(AND(K48="",O48=0),"panel bigger than sheet",IF(AND(G48&lt;&gt;"",IFERROR(VALUE(MID(B48,5,FIND("-",B48,5)-5)),0)&lt;&gt;G48),"T must match panel type",IF(I48="","exposed faces?","OK")))))</f>
        <v/>
      </c>
      <c r="S48" s="12">
        <f t="array" ref="S48">IF(OR(B48="",P48=""),"",IFERROR(INDEX(RATES!$C:$C,MATCH(B48,RATES!$A:$A,0)),"rate?"))</f>
        <v/>
      </c>
      <c r="T48" s="12">
        <f>IF(ISNUMBER(S48),IF(K48&lt;&gt;"",K48,IF(Q48&gt;RATES!$C$97,P48*(1+RATES!$C$98),ROUNDUP(P48,0)))*S48,"")</f>
        <v/>
      </c>
    </row>
    <row r="49" ht="15.75" customHeight="1" s="59">
      <c r="A49" s="9" t="n">
        <v>4</v>
      </c>
      <c r="B49" s="10" t="n"/>
      <c r="C49" s="48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25">
        <f>IF(OR(E49="",F49="",G49=""),"",E49*F49*G49/1000000000*IF(H49="",1,H49))</f>
        <v/>
      </c>
      <c r="N49" s="19">
        <f>IF(OR(E49="",F49=""),"",E49*F49/1000000*IF(H49="",1,H49))</f>
        <v/>
      </c>
      <c r="O49" s="14">
        <f>IF(OR(E49="",F49=""),"",MAX(INT(LISTS!$F$6/(E49+LISTS!$F$8))*INT(LISTS!$F$7/(F49+LISTS!$F$8)),INT(LISTS!$F$6/(F49+LISTS!$F$8))*INT(LISTS!$F$7/(E49+LISTS!$F$8))))</f>
        <v/>
      </c>
      <c r="P49" s="19">
        <f>IF(K49&lt;&gt;"",K49,IF(OR(O49="",O49=0),"",IF(H49="",1,H49)/O49))</f>
        <v/>
      </c>
      <c r="Q49" s="36">
        <f>IF(OR(K49&lt;&gt;"",P49=""),"",1-(IF(H49="",1,H49)*E49*F49)/(ROUNDUP(P49,0)*LISTS!$F$6*LISTS!$F$7))</f>
        <v/>
      </c>
      <c r="R49" s="14">
        <f>IF(AND(E49="",K49=""),"",IF(B49="","panel type?",IF(AND(K49="",O49=0),"panel bigger than sheet",IF(AND(G49&lt;&gt;"",IFERROR(VALUE(MID(B49,5,FIND("-",B49,5)-5)),0)&lt;&gt;G49),"T must match panel type",IF(I49="","exposed faces?","OK")))))</f>
        <v/>
      </c>
      <c r="S49" s="12">
        <f t="array" ref="S49">IF(OR(B49="",P49=""),"",IFERROR(INDEX(RATES!$C:$C,MATCH(B49,RATES!$A:$A,0)),"rate?"))</f>
        <v/>
      </c>
      <c r="T49" s="12">
        <f>IF(ISNUMBER(S49),IF(K49&lt;&gt;"",K49,IF(Q49&gt;RATES!$C$97,P49*(1+RATES!$C$98),ROUNDUP(P49,0)))*S49,"")</f>
        <v/>
      </c>
    </row>
    <row r="50" ht="15.75" customHeight="1" s="59">
      <c r="A50" s="9" t="n">
        <v>5</v>
      </c>
      <c r="B50" s="10" t="n"/>
      <c r="C50" s="48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25">
        <f>IF(OR(E50="",F50="",G50=""),"",E50*F50*G50/1000000000*IF(H50="",1,H50))</f>
        <v/>
      </c>
      <c r="N50" s="19">
        <f>IF(OR(E50="",F50=""),"",E50*F50/1000000*IF(H50="",1,H50))</f>
        <v/>
      </c>
      <c r="O50" s="14">
        <f>IF(OR(E50="",F50=""),"",MAX(INT(LISTS!$F$6/(E50+LISTS!$F$8))*INT(LISTS!$F$7/(F50+LISTS!$F$8)),INT(LISTS!$F$6/(F50+LISTS!$F$8))*INT(LISTS!$F$7/(E50+LISTS!$F$8))))</f>
        <v/>
      </c>
      <c r="P50" s="19">
        <f>IF(K50&lt;&gt;"",K50,IF(OR(O50="",O50=0),"",IF(H50="",1,H50)/O50))</f>
        <v/>
      </c>
      <c r="Q50" s="36">
        <f>IF(OR(K50&lt;&gt;"",P50=""),"",1-(IF(H50="",1,H50)*E50*F50)/(ROUNDUP(P50,0)*LISTS!$F$6*LISTS!$F$7))</f>
        <v/>
      </c>
      <c r="R50" s="14">
        <f>IF(AND(E50="",K50=""),"",IF(B50="","panel type?",IF(AND(K50="",O50=0),"panel bigger than sheet",IF(AND(G50&lt;&gt;"",IFERROR(VALUE(MID(B50,5,FIND("-",B50,5)-5)),0)&lt;&gt;G50),"T must match panel type",IF(I50="","exposed faces?","OK")))))</f>
        <v/>
      </c>
      <c r="S50" s="12">
        <f t="array" ref="S50">IF(OR(B50="",P50=""),"",IFERROR(INDEX(RATES!$C:$C,MATCH(B50,RATES!$A:$A,0)),"rate?"))</f>
        <v/>
      </c>
      <c r="T50" s="12">
        <f>IF(ISNUMBER(S50),IF(K50&lt;&gt;"",K50,IF(Q50&gt;RATES!$C$97,P50*(1+RATES!$C$98),ROUNDUP(P50,0)))*S50,"")</f>
        <v/>
      </c>
    </row>
    <row r="51" ht="15.75" customHeight="1" s="59">
      <c r="A51" s="9" t="n">
        <v>6</v>
      </c>
      <c r="B51" s="10" t="n"/>
      <c r="C51" s="48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25">
        <f>IF(OR(E51="",F51="",G51=""),"",E51*F51*G51/1000000000*IF(H51="",1,H51))</f>
        <v/>
      </c>
      <c r="N51" s="19">
        <f>IF(OR(E51="",F51=""),"",E51*F51/1000000*IF(H51="",1,H51))</f>
        <v/>
      </c>
      <c r="O51" s="14">
        <f>IF(OR(E51="",F51=""),"",MAX(INT(LISTS!$F$6/(E51+LISTS!$F$8))*INT(LISTS!$F$7/(F51+LISTS!$F$8)),INT(LISTS!$F$6/(F51+LISTS!$F$8))*INT(LISTS!$F$7/(E51+LISTS!$F$8))))</f>
        <v/>
      </c>
      <c r="P51" s="19">
        <f>IF(K51&lt;&gt;"",K51,IF(OR(O51="",O51=0),"",IF(H51="",1,H51)/O51))</f>
        <v/>
      </c>
      <c r="Q51" s="36">
        <f>IF(OR(K51&lt;&gt;"",P51=""),"",1-(IF(H51="",1,H51)*E51*F51)/(ROUNDUP(P51,0)*LISTS!$F$6*LISTS!$F$7))</f>
        <v/>
      </c>
      <c r="R51" s="14">
        <f>IF(AND(E51="",K51=""),"",IF(B51="","panel type?",IF(AND(K51="",O51=0),"panel bigger than sheet",IF(AND(G51&lt;&gt;"",IFERROR(VALUE(MID(B51,5,FIND("-",B51,5)-5)),0)&lt;&gt;G51),"T must match panel type",IF(I51="","exposed faces?","OK")))))</f>
        <v/>
      </c>
      <c r="S51" s="12">
        <f t="array" ref="S51">IF(OR(B51="",P51=""),"",IFERROR(INDEX(RATES!$C:$C,MATCH(B51,RATES!$A:$A,0)),"rate?"))</f>
        <v/>
      </c>
      <c r="T51" s="12">
        <f>IF(ISNUMBER(S51),IF(K51&lt;&gt;"",K51,IF(Q51&gt;RATES!$C$97,P51*(1+RATES!$C$98),ROUNDUP(P51,0)))*S51,"")</f>
        <v/>
      </c>
    </row>
    <row r="52" ht="15.75" customHeight="1" s="59">
      <c r="A52" s="9" t="n">
        <v>7</v>
      </c>
      <c r="B52" s="10" t="n"/>
      <c r="C52" s="48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25">
        <f>IF(OR(E52="",F52="",G52=""),"",E52*F52*G52/1000000000*IF(H52="",1,H52))</f>
        <v/>
      </c>
      <c r="N52" s="19">
        <f>IF(OR(E52="",F52=""),"",E52*F52/1000000*IF(H52="",1,H52))</f>
        <v/>
      </c>
      <c r="O52" s="14">
        <f>IF(OR(E52="",F52=""),"",MAX(INT(LISTS!$F$6/(E52+LISTS!$F$8))*INT(LISTS!$F$7/(F52+LISTS!$F$8)),INT(LISTS!$F$6/(F52+LISTS!$F$8))*INT(LISTS!$F$7/(E52+LISTS!$F$8))))</f>
        <v/>
      </c>
      <c r="P52" s="19">
        <f>IF(K52&lt;&gt;"",K52,IF(OR(O52="",O52=0),"",IF(H52="",1,H52)/O52))</f>
        <v/>
      </c>
      <c r="Q52" s="36">
        <f>IF(OR(K52&lt;&gt;"",P52=""),"",1-(IF(H52="",1,H52)*E52*F52)/(ROUNDUP(P52,0)*LISTS!$F$6*LISTS!$F$7))</f>
        <v/>
      </c>
      <c r="R52" s="14">
        <f>IF(AND(E52="",K52=""),"",IF(B52="","panel type?",IF(AND(K52="",O52=0),"panel bigger than sheet",IF(AND(G52&lt;&gt;"",IFERROR(VALUE(MID(B52,5,FIND("-",B52,5)-5)),0)&lt;&gt;G52),"T must match panel type",IF(I52="","exposed faces?","OK")))))</f>
        <v/>
      </c>
      <c r="S52" s="12">
        <f t="array" ref="S52">IF(OR(B52="",P52=""),"",IFERROR(INDEX(RATES!$C:$C,MATCH(B52,RATES!$A:$A,0)),"rate?"))</f>
        <v/>
      </c>
      <c r="T52" s="12">
        <f>IF(ISNUMBER(S52),IF(K52&lt;&gt;"",K52,IF(Q52&gt;RATES!$C$97,P52*(1+RATES!$C$98),ROUNDUP(P52,0)))*S52,"")</f>
        <v/>
      </c>
    </row>
    <row r="53" ht="15.75" customHeight="1" s="59">
      <c r="A53" s="9" t="n">
        <v>8</v>
      </c>
      <c r="B53" s="10" t="n"/>
      <c r="C53" s="48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25">
        <f>IF(OR(E53="",F53="",G53=""),"",E53*F53*G53/1000000000*IF(H53="",1,H53))</f>
        <v/>
      </c>
      <c r="N53" s="19">
        <f>IF(OR(E53="",F53=""),"",E53*F53/1000000*IF(H53="",1,H53))</f>
        <v/>
      </c>
      <c r="O53" s="14">
        <f>IF(OR(E53="",F53=""),"",MAX(INT(LISTS!$F$6/(E53+LISTS!$F$8))*INT(LISTS!$F$7/(F53+LISTS!$F$8)),INT(LISTS!$F$6/(F53+LISTS!$F$8))*INT(LISTS!$F$7/(E53+LISTS!$F$8))))</f>
        <v/>
      </c>
      <c r="P53" s="19">
        <f>IF(K53&lt;&gt;"",K53,IF(OR(O53="",O53=0),"",IF(H53="",1,H53)/O53))</f>
        <v/>
      </c>
      <c r="Q53" s="36">
        <f>IF(OR(K53&lt;&gt;"",P53=""),"",1-(IF(H53="",1,H53)*E53*F53)/(ROUNDUP(P53,0)*LISTS!$F$6*LISTS!$F$7))</f>
        <v/>
      </c>
      <c r="R53" s="14">
        <f>IF(AND(E53="",K53=""),"",IF(B53="","panel type?",IF(AND(K53="",O53=0),"panel bigger than sheet",IF(AND(G53&lt;&gt;"",IFERROR(VALUE(MID(B53,5,FIND("-",B53,5)-5)),0)&lt;&gt;G53),"T must match panel type",IF(I53="","exposed faces?","OK")))))</f>
        <v/>
      </c>
      <c r="S53" s="12">
        <f t="array" ref="S53">IF(OR(B53="",P53=""),"",IFERROR(INDEX(RATES!$C:$C,MATCH(B53,RATES!$A:$A,0)),"rate?"))</f>
        <v/>
      </c>
      <c r="T53" s="12">
        <f>IF(ISNUMBER(S53),IF(K53&lt;&gt;"",K53,IF(Q53&gt;RATES!$C$97,P53*(1+RATES!$C$98),ROUNDUP(P53,0)))*S53,"")</f>
        <v/>
      </c>
    </row>
    <row r="54" ht="15.75" customHeight="1" s="59">
      <c r="A54" s="9" t="n">
        <v>9</v>
      </c>
      <c r="B54" s="10" t="n"/>
      <c r="C54" s="48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25">
        <f>IF(OR(E54="",F54="",G54=""),"",E54*F54*G54/1000000000*IF(H54="",1,H54))</f>
        <v/>
      </c>
      <c r="N54" s="19">
        <f>IF(OR(E54="",F54=""),"",E54*F54/1000000*IF(H54="",1,H54))</f>
        <v/>
      </c>
      <c r="O54" s="14">
        <f>IF(OR(E54="",F54=""),"",MAX(INT(LISTS!$F$6/(E54+LISTS!$F$8))*INT(LISTS!$F$7/(F54+LISTS!$F$8)),INT(LISTS!$F$6/(F54+LISTS!$F$8))*INT(LISTS!$F$7/(E54+LISTS!$F$8))))</f>
        <v/>
      </c>
      <c r="P54" s="19">
        <f>IF(K54&lt;&gt;"",K54,IF(OR(O54="",O54=0),"",IF(H54="",1,H54)/O54))</f>
        <v/>
      </c>
      <c r="Q54" s="36">
        <f>IF(OR(K54&lt;&gt;"",P54=""),"",1-(IF(H54="",1,H54)*E54*F54)/(ROUNDUP(P54,0)*LISTS!$F$6*LISTS!$F$7))</f>
        <v/>
      </c>
      <c r="R54" s="14">
        <f>IF(AND(E54="",K54=""),"",IF(B54="","panel type?",IF(AND(K54="",O54=0),"panel bigger than sheet",IF(AND(G54&lt;&gt;"",IFERROR(VALUE(MID(B54,5,FIND("-",B54,5)-5)),0)&lt;&gt;G54),"T must match panel type",IF(I54="","exposed faces?","OK")))))</f>
        <v/>
      </c>
      <c r="S54" s="12">
        <f t="array" ref="S54">IF(OR(B54="",P54=""),"",IFERROR(INDEX(RATES!$C:$C,MATCH(B54,RATES!$A:$A,0)),"rate?"))</f>
        <v/>
      </c>
      <c r="T54" s="12">
        <f>IF(ISNUMBER(S54),IF(K54&lt;&gt;"",K54,IF(Q54&gt;RATES!$C$97,P54*(1+RATES!$C$98),ROUNDUP(P54,0)))*S54,"")</f>
        <v/>
      </c>
    </row>
    <row r="55" ht="15.75" customHeight="1" s="59">
      <c r="A55" s="9" t="n">
        <v>10</v>
      </c>
      <c r="B55" s="10" t="n"/>
      <c r="C55" s="48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25">
        <f>IF(OR(E55="",F55="",G55=""),"",E55*F55*G55/1000000000*IF(H55="",1,H55))</f>
        <v/>
      </c>
      <c r="N55" s="19">
        <f>IF(OR(E55="",F55=""),"",E55*F55/1000000*IF(H55="",1,H55))</f>
        <v/>
      </c>
      <c r="O55" s="14">
        <f>IF(OR(E55="",F55=""),"",MAX(INT(LISTS!$F$6/(E55+LISTS!$F$8))*INT(LISTS!$F$7/(F55+LISTS!$F$8)),INT(LISTS!$F$6/(F55+LISTS!$F$8))*INT(LISTS!$F$7/(E55+LISTS!$F$8))))</f>
        <v/>
      </c>
      <c r="P55" s="19">
        <f>IF(K55&lt;&gt;"",K55,IF(OR(O55="",O55=0),"",IF(H55="",1,H55)/O55))</f>
        <v/>
      </c>
      <c r="Q55" s="36">
        <f>IF(OR(K55&lt;&gt;"",P55=""),"",1-(IF(H55="",1,H55)*E55*F55)/(ROUNDUP(P55,0)*LISTS!$F$6*LISTS!$F$7))</f>
        <v/>
      </c>
      <c r="R55" s="14">
        <f>IF(AND(E55="",K55=""),"",IF(B55="","panel type?",IF(AND(K55="",O55=0),"panel bigger than sheet",IF(AND(G55&lt;&gt;"",IFERROR(VALUE(MID(B55,5,FIND("-",B55,5)-5)),0)&lt;&gt;G55),"T must match panel type",IF(I55="","exposed faces?","OK")))))</f>
        <v/>
      </c>
      <c r="S55" s="12">
        <f t="array" ref="S55">IF(OR(B55="",P55=""),"",IFERROR(INDEX(RATES!$C:$C,MATCH(B55,RATES!$A:$A,0)),"rate?"))</f>
        <v/>
      </c>
      <c r="T55" s="12">
        <f>IF(ISNUMBER(S55),IF(K55&lt;&gt;"",K55,IF(Q55&gt;RATES!$C$97,P55*(1+RATES!$C$98),ROUNDUP(P55,0)))*S55,"")</f>
        <v/>
      </c>
    </row>
    <row r="56" ht="15.75" customHeight="1" s="59">
      <c r="A56" s="9" t="n">
        <v>11</v>
      </c>
      <c r="B56" s="10" t="n"/>
      <c r="C56" s="48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25">
        <f>IF(OR(E56="",F56="",G56=""),"",E56*F56*G56/1000000000*IF(H56="",1,H56))</f>
        <v/>
      </c>
      <c r="N56" s="19">
        <f>IF(OR(E56="",F56=""),"",E56*F56/1000000*IF(H56="",1,H56))</f>
        <v/>
      </c>
      <c r="O56" s="14">
        <f>IF(OR(E56="",F56=""),"",MAX(INT(LISTS!$F$6/(E56+LISTS!$F$8))*INT(LISTS!$F$7/(F56+LISTS!$F$8)),INT(LISTS!$F$6/(F56+LISTS!$F$8))*INT(LISTS!$F$7/(E56+LISTS!$F$8))))</f>
        <v/>
      </c>
      <c r="P56" s="19">
        <f>IF(K56&lt;&gt;"",K56,IF(OR(O56="",O56=0),"",IF(H56="",1,H56)/O56))</f>
        <v/>
      </c>
      <c r="Q56" s="36">
        <f>IF(OR(K56&lt;&gt;"",P56=""),"",1-(IF(H56="",1,H56)*E56*F56)/(ROUNDUP(P56,0)*LISTS!$F$6*LISTS!$F$7))</f>
        <v/>
      </c>
      <c r="R56" s="14">
        <f>IF(AND(E56="",K56=""),"",IF(B56="","panel type?",IF(AND(K56="",O56=0),"panel bigger than sheet",IF(AND(G56&lt;&gt;"",IFERROR(VALUE(MID(B56,5,FIND("-",B56,5)-5)),0)&lt;&gt;G56),"T must match panel type",IF(I56="","exposed faces?","OK")))))</f>
        <v/>
      </c>
      <c r="S56" s="12">
        <f t="array" ref="S56">IF(OR(B56="",P56=""),"",IFERROR(INDEX(RATES!$C:$C,MATCH(B56,RATES!$A:$A,0)),"rate?"))</f>
        <v/>
      </c>
      <c r="T56" s="12">
        <f>IF(ISNUMBER(S56),IF(K56&lt;&gt;"",K56,IF(Q56&gt;RATES!$C$97,P56*(1+RATES!$C$98),ROUNDUP(P56,0)))*S56,"")</f>
        <v/>
      </c>
    </row>
    <row r="57" ht="15.75" customHeight="1" s="59">
      <c r="A57" s="9" t="n">
        <v>12</v>
      </c>
      <c r="B57" s="10" t="n"/>
      <c r="C57" s="48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25">
        <f>IF(OR(E57="",F57="",G57=""),"",E57*F57*G57/1000000000*IF(H57="",1,H57))</f>
        <v/>
      </c>
      <c r="N57" s="19">
        <f>IF(OR(E57="",F57=""),"",E57*F57/1000000*IF(H57="",1,H57))</f>
        <v/>
      </c>
      <c r="O57" s="14">
        <f>IF(OR(E57="",F57=""),"",MAX(INT(LISTS!$F$6/(E57+LISTS!$F$8))*INT(LISTS!$F$7/(F57+LISTS!$F$8)),INT(LISTS!$F$6/(F57+LISTS!$F$8))*INT(LISTS!$F$7/(E57+LISTS!$F$8))))</f>
        <v/>
      </c>
      <c r="P57" s="19">
        <f>IF(K57&lt;&gt;"",K57,IF(OR(O57="",O57=0),"",IF(H57="",1,H57)/O57))</f>
        <v/>
      </c>
      <c r="Q57" s="36">
        <f>IF(OR(K57&lt;&gt;"",P57=""),"",1-(IF(H57="",1,H57)*E57*F57)/(ROUNDUP(P57,0)*LISTS!$F$6*LISTS!$F$7))</f>
        <v/>
      </c>
      <c r="R57" s="14">
        <f>IF(AND(E57="",K57=""),"",IF(B57="","panel type?",IF(AND(K57="",O57=0),"panel bigger than sheet",IF(AND(G57&lt;&gt;"",IFERROR(VALUE(MID(B57,5,FIND("-",B57,5)-5)),0)&lt;&gt;G57),"T must match panel type",IF(I57="","exposed faces?","OK")))))</f>
        <v/>
      </c>
      <c r="S57" s="12">
        <f t="array" ref="S57">IF(OR(B57="",P57=""),"",IFERROR(INDEX(RATES!$C:$C,MATCH(B57,RATES!$A:$A,0)),"rate?"))</f>
        <v/>
      </c>
      <c r="T57" s="12">
        <f>IF(ISNUMBER(S57),IF(K57&lt;&gt;"",K57,IF(Q57&gt;RATES!$C$97,P57*(1+RATES!$C$98),ROUNDUP(P57,0)))*S57,"")</f>
        <v/>
      </c>
    </row>
    <row r="58" ht="15.75" customHeight="1" s="59">
      <c r="A58" s="9" t="n">
        <v>13</v>
      </c>
      <c r="B58" s="10" t="n"/>
      <c r="C58" s="48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25">
        <f>IF(OR(E58="",F58="",G58=""),"",E58*F58*G58/1000000000*IF(H58="",1,H58))</f>
        <v/>
      </c>
      <c r="N58" s="19">
        <f>IF(OR(E58="",F58=""),"",E58*F58/1000000*IF(H58="",1,H58))</f>
        <v/>
      </c>
      <c r="O58" s="14">
        <f>IF(OR(E58="",F58=""),"",MAX(INT(LISTS!$F$6/(E58+LISTS!$F$8))*INT(LISTS!$F$7/(F58+LISTS!$F$8)),INT(LISTS!$F$6/(F58+LISTS!$F$8))*INT(LISTS!$F$7/(E58+LISTS!$F$8))))</f>
        <v/>
      </c>
      <c r="P58" s="19">
        <f>IF(K58&lt;&gt;"",K58,IF(OR(O58="",O58=0),"",IF(H58="",1,H58)/O58))</f>
        <v/>
      </c>
      <c r="Q58" s="36">
        <f>IF(OR(K58&lt;&gt;"",P58=""),"",1-(IF(H58="",1,H58)*E58*F58)/(ROUNDUP(P58,0)*LISTS!$F$6*LISTS!$F$7))</f>
        <v/>
      </c>
      <c r="R58" s="14">
        <f>IF(AND(E58="",K58=""),"",IF(B58="","panel type?",IF(AND(K58="",O58=0),"panel bigger than sheet",IF(AND(G58&lt;&gt;"",IFERROR(VALUE(MID(B58,5,FIND("-",B58,5)-5)),0)&lt;&gt;G58),"T must match panel type",IF(I58="","exposed faces?","OK")))))</f>
        <v/>
      </c>
      <c r="S58" s="12">
        <f t="array" ref="S58">IF(OR(B58="",P58=""),"",IFERROR(INDEX(RATES!$C:$C,MATCH(B58,RATES!$A:$A,0)),"rate?"))</f>
        <v/>
      </c>
      <c r="T58" s="12">
        <f>IF(ISNUMBER(S58),IF(K58&lt;&gt;"",K58,IF(Q58&gt;RATES!$C$97,P58*(1+RATES!$C$98),ROUNDUP(P58,0)))*S58,"")</f>
        <v/>
      </c>
    </row>
    <row r="59" ht="15.75" customHeight="1" s="59">
      <c r="A59" s="9" t="n">
        <v>14</v>
      </c>
      <c r="B59" s="10" t="n"/>
      <c r="C59" s="48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25">
        <f>IF(OR(E59="",F59="",G59=""),"",E59*F59*G59/1000000000*IF(H59="",1,H59))</f>
        <v/>
      </c>
      <c r="N59" s="19">
        <f>IF(OR(E59="",F59=""),"",E59*F59/1000000*IF(H59="",1,H59))</f>
        <v/>
      </c>
      <c r="O59" s="14">
        <f>IF(OR(E59="",F59=""),"",MAX(INT(LISTS!$F$6/(E59+LISTS!$F$8))*INT(LISTS!$F$7/(F59+LISTS!$F$8)),INT(LISTS!$F$6/(F59+LISTS!$F$8))*INT(LISTS!$F$7/(E59+LISTS!$F$8))))</f>
        <v/>
      </c>
      <c r="P59" s="19">
        <f>IF(K59&lt;&gt;"",K59,IF(OR(O59="",O59=0),"",IF(H59="",1,H59)/O59))</f>
        <v/>
      </c>
      <c r="Q59" s="36">
        <f>IF(OR(K59&lt;&gt;"",P59=""),"",1-(IF(H59="",1,H59)*E59*F59)/(ROUNDUP(P59,0)*LISTS!$F$6*LISTS!$F$7))</f>
        <v/>
      </c>
      <c r="R59" s="14">
        <f>IF(AND(E59="",K59=""),"",IF(B59="","panel type?",IF(AND(K59="",O59=0),"panel bigger than sheet",IF(AND(G59&lt;&gt;"",IFERROR(VALUE(MID(B59,5,FIND("-",B59,5)-5)),0)&lt;&gt;G59),"T must match panel type",IF(I59="","exposed faces?","OK")))))</f>
        <v/>
      </c>
      <c r="S59" s="12">
        <f t="array" ref="S59">IF(OR(B59="",P59=""),"",IFERROR(INDEX(RATES!$C:$C,MATCH(B59,RATES!$A:$A,0)),"rate?"))</f>
        <v/>
      </c>
      <c r="T59" s="12">
        <f>IF(ISNUMBER(S59),IF(K59&lt;&gt;"",K59,IF(Q59&gt;RATES!$C$97,P59*(1+RATES!$C$98),ROUNDUP(P59,0)))*S59,"")</f>
        <v/>
      </c>
    </row>
    <row r="60" ht="15.75" customHeight="1" s="59">
      <c r="A60" s="9" t="n">
        <v>15</v>
      </c>
      <c r="B60" s="10" t="n"/>
      <c r="C60" s="48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25">
        <f>IF(OR(E60="",F60="",G60=""),"",E60*F60*G60/1000000000*IF(H60="",1,H60))</f>
        <v/>
      </c>
      <c r="N60" s="19">
        <f>IF(OR(E60="",F60=""),"",E60*F60/1000000*IF(H60="",1,H60))</f>
        <v/>
      </c>
      <c r="O60" s="14">
        <f>IF(OR(E60="",F60=""),"",MAX(INT(LISTS!$F$6/(E60+LISTS!$F$8))*INT(LISTS!$F$7/(F60+LISTS!$F$8)),INT(LISTS!$F$6/(F60+LISTS!$F$8))*INT(LISTS!$F$7/(E60+LISTS!$F$8))))</f>
        <v/>
      </c>
      <c r="P60" s="19">
        <f>IF(K60&lt;&gt;"",K60,IF(OR(O60="",O60=0),"",IF(H60="",1,H60)/O60))</f>
        <v/>
      </c>
      <c r="Q60" s="36">
        <f>IF(OR(K60&lt;&gt;"",P60=""),"",1-(IF(H60="",1,H60)*E60*F60)/(ROUNDUP(P60,0)*LISTS!$F$6*LISTS!$F$7))</f>
        <v/>
      </c>
      <c r="R60" s="14">
        <f>IF(AND(E60="",K60=""),"",IF(B60="","panel type?",IF(AND(K60="",O60=0),"panel bigger than sheet",IF(AND(G60&lt;&gt;"",IFERROR(VALUE(MID(B60,5,FIND("-",B60,5)-5)),0)&lt;&gt;G60),"T must match panel type",IF(I60="","exposed faces?","OK")))))</f>
        <v/>
      </c>
      <c r="S60" s="12">
        <f t="array" ref="S60">IF(OR(B60="",P60=""),"",IFERROR(INDEX(RATES!$C:$C,MATCH(B60,RATES!$A:$A,0)),"rate?"))</f>
        <v/>
      </c>
      <c r="T60" s="12">
        <f>IF(ISNUMBER(S60),IF(K60&lt;&gt;"",K60,IF(Q60&gt;RATES!$C$97,P60*(1+RATES!$C$98),ROUNDUP(P60,0)))*S60,"")</f>
        <v/>
      </c>
    </row>
    <row r="61" ht="15.75" customHeight="1" s="59"/>
    <row r="62" ht="15.75" customHeight="1" s="59">
      <c r="A62" s="5" t="inlineStr">
        <is>
          <t>HARDWARE &amp; BOUGHT-IN: runners, hinges, handles, metal frames, rattan, glass, mirror, fabric, foam, outside labour. ENTER UNIT PRICE IDR.</t>
        </is>
      </c>
    </row>
    <row r="63" ht="31.5" customHeight="1" s="59">
      <c r="A63" s="8" t="inlineStr">
        <is>
          <t>NO</t>
        </is>
      </c>
      <c r="B63" s="8" t="inlineStr">
        <is>
          <t>ITEM MASTER CODE</t>
        </is>
      </c>
      <c r="C63" s="47" t="inlineStr">
        <is>
          <t>LABEL</t>
        </is>
      </c>
      <c r="D63" s="8" t="inlineStr">
        <is>
          <t>DESCRIPTION</t>
        </is>
      </c>
      <c r="E63" s="8" t="inlineStr">
        <is>
          <t>VENDOR</t>
        </is>
      </c>
      <c r="F63" s="8" t="n"/>
      <c r="G63" s="8" t="n"/>
      <c r="H63" s="8" t="inlineStr">
        <is>
          <t>QTY</t>
        </is>
      </c>
      <c r="I63" s="8" t="inlineStr">
        <is>
          <t>UOM</t>
        </is>
      </c>
      <c r="J63" s="8" t="n"/>
      <c r="K63" s="8" t="n"/>
      <c r="L63" s="8" t="inlineStr">
        <is>
          <t>LINK / NOTE</t>
        </is>
      </c>
      <c r="M63" s="8" t="n"/>
      <c r="N63" s="8" t="n"/>
      <c r="O63" s="8" t="n"/>
      <c r="P63" s="8" t="n"/>
      <c r="Q63" s="8" t="n"/>
      <c r="R63" s="8" t="n"/>
      <c r="S63" s="8" t="inlineStr">
        <is>
          <t>UNIT PRICE IDR</t>
        </is>
      </c>
      <c r="T63" s="8" t="inlineStr">
        <is>
          <t>LINE TOTAL (calc)</t>
        </is>
      </c>
    </row>
    <row r="64" ht="15.75" customHeight="1" s="59">
      <c r="A64" s="9" t="n">
        <v>1</v>
      </c>
      <c r="B64" s="10" t="n"/>
      <c r="C64" s="48" t="n"/>
      <c r="D64" s="10" t="n"/>
      <c r="E64" s="10" t="n"/>
      <c r="F64" s="67" t="n"/>
      <c r="G64" s="68" t="n"/>
      <c r="H64" s="10" t="n"/>
      <c r="I64" s="10" t="n"/>
      <c r="J64" s="10" t="n"/>
      <c r="K64" s="10" t="n"/>
      <c r="L64" s="10" t="n"/>
      <c r="M64" s="67" t="n"/>
      <c r="N64" s="67" t="n"/>
      <c r="O64" s="67" t="n"/>
      <c r="P64" s="67" t="n"/>
      <c r="Q64" s="67" t="n"/>
      <c r="R64" s="68" t="n"/>
      <c r="S64" s="37" t="n"/>
      <c r="T64" s="38">
        <f>IF(OR(H64="",S64=""),"",H64*S64)</f>
        <v/>
      </c>
    </row>
    <row r="65" ht="15.75" customHeight="1" s="59">
      <c r="A65" s="9" t="n">
        <v>2</v>
      </c>
      <c r="B65" s="10" t="n"/>
      <c r="C65" s="48" t="n"/>
      <c r="D65" s="10" t="n"/>
      <c r="E65" s="10" t="n"/>
      <c r="F65" s="67" t="n"/>
      <c r="G65" s="68" t="n"/>
      <c r="H65" s="10" t="n"/>
      <c r="I65" s="10" t="n"/>
      <c r="J65" s="10" t="n"/>
      <c r="K65" s="10" t="n"/>
      <c r="L65" s="10" t="n"/>
      <c r="M65" s="67" t="n"/>
      <c r="N65" s="67" t="n"/>
      <c r="O65" s="67" t="n"/>
      <c r="P65" s="67" t="n"/>
      <c r="Q65" s="67" t="n"/>
      <c r="R65" s="68" t="n"/>
      <c r="S65" s="37" t="n"/>
      <c r="T65" s="38">
        <f>IF(OR(H65="",S65=""),"",H65*S65)</f>
        <v/>
      </c>
    </row>
    <row r="66" ht="15.75" customHeight="1" s="59">
      <c r="A66" s="9" t="n">
        <v>3</v>
      </c>
      <c r="B66" s="10" t="n"/>
      <c r="C66" s="48" t="n"/>
      <c r="D66" s="10" t="n"/>
      <c r="E66" s="10" t="n"/>
      <c r="F66" s="67" t="n"/>
      <c r="G66" s="68" t="n"/>
      <c r="H66" s="10" t="n"/>
      <c r="I66" s="10" t="n"/>
      <c r="J66" s="10" t="n"/>
      <c r="K66" s="10" t="n"/>
      <c r="L66" s="10" t="n"/>
      <c r="M66" s="67" t="n"/>
      <c r="N66" s="67" t="n"/>
      <c r="O66" s="67" t="n"/>
      <c r="P66" s="67" t="n"/>
      <c r="Q66" s="67" t="n"/>
      <c r="R66" s="68" t="n"/>
      <c r="S66" s="37" t="n"/>
      <c r="T66" s="38">
        <f>IF(OR(H66="",S66=""),"",H66*S66)</f>
        <v/>
      </c>
    </row>
    <row r="67" ht="15.75" customHeight="1" s="59">
      <c r="A67" s="9" t="n">
        <v>4</v>
      </c>
      <c r="B67" s="10" t="n"/>
      <c r="C67" s="48" t="n"/>
      <c r="D67" s="10" t="n"/>
      <c r="E67" s="10" t="n"/>
      <c r="F67" s="67" t="n"/>
      <c r="G67" s="68" t="n"/>
      <c r="H67" s="10" t="n"/>
      <c r="I67" s="10" t="n"/>
      <c r="J67" s="10" t="n"/>
      <c r="K67" s="10" t="n"/>
      <c r="L67" s="10" t="n"/>
      <c r="M67" s="67" t="n"/>
      <c r="N67" s="67" t="n"/>
      <c r="O67" s="67" t="n"/>
      <c r="P67" s="67" t="n"/>
      <c r="Q67" s="67" t="n"/>
      <c r="R67" s="68" t="n"/>
      <c r="S67" s="37" t="n"/>
      <c r="T67" s="38">
        <f>IF(OR(H67="",S67=""),"",H67*S67)</f>
        <v/>
      </c>
    </row>
    <row r="68" ht="15.75" customHeight="1" s="59">
      <c r="A68" s="9" t="n">
        <v>5</v>
      </c>
      <c r="B68" s="10" t="n"/>
      <c r="C68" s="48" t="n"/>
      <c r="D68" s="10" t="n"/>
      <c r="E68" s="10" t="n"/>
      <c r="F68" s="67" t="n"/>
      <c r="G68" s="68" t="n"/>
      <c r="H68" s="10" t="n"/>
      <c r="I68" s="10" t="n"/>
      <c r="J68" s="10" t="n"/>
      <c r="K68" s="10" t="n"/>
      <c r="L68" s="10" t="n"/>
      <c r="M68" s="67" t="n"/>
      <c r="N68" s="67" t="n"/>
      <c r="O68" s="67" t="n"/>
      <c r="P68" s="67" t="n"/>
      <c r="Q68" s="67" t="n"/>
      <c r="R68" s="68" t="n"/>
      <c r="S68" s="37" t="n"/>
      <c r="T68" s="38">
        <f>IF(OR(H68="",S68=""),"",H68*S68)</f>
        <v/>
      </c>
    </row>
    <row r="69" ht="15.75" customHeight="1" s="59">
      <c r="A69" s="9" t="n">
        <v>6</v>
      </c>
      <c r="B69" s="10" t="n"/>
      <c r="C69" s="48" t="n"/>
      <c r="D69" s="10" t="n"/>
      <c r="E69" s="10" t="n"/>
      <c r="F69" s="67" t="n"/>
      <c r="G69" s="68" t="n"/>
      <c r="H69" s="10" t="n"/>
      <c r="I69" s="10" t="n"/>
      <c r="J69" s="10" t="n"/>
      <c r="K69" s="10" t="n"/>
      <c r="L69" s="10" t="n"/>
      <c r="M69" s="67" t="n"/>
      <c r="N69" s="67" t="n"/>
      <c r="O69" s="67" t="n"/>
      <c r="P69" s="67" t="n"/>
      <c r="Q69" s="67" t="n"/>
      <c r="R69" s="68" t="n"/>
      <c r="S69" s="37" t="n"/>
      <c r="T69" s="38">
        <f>IF(OR(H69="",S69=""),"",H69*S69)</f>
        <v/>
      </c>
    </row>
    <row r="70" ht="15.75" customHeight="1" s="59">
      <c r="A70" s="9" t="n">
        <v>7</v>
      </c>
      <c r="B70" s="10" t="n"/>
      <c r="C70" s="48" t="n"/>
      <c r="D70" s="10" t="n"/>
      <c r="E70" s="10" t="n"/>
      <c r="F70" s="67" t="n"/>
      <c r="G70" s="68" t="n"/>
      <c r="H70" s="10" t="n"/>
      <c r="I70" s="10" t="n"/>
      <c r="J70" s="10" t="n"/>
      <c r="K70" s="10" t="n"/>
      <c r="L70" s="10" t="n"/>
      <c r="M70" s="67" t="n"/>
      <c r="N70" s="67" t="n"/>
      <c r="O70" s="67" t="n"/>
      <c r="P70" s="67" t="n"/>
      <c r="Q70" s="67" t="n"/>
      <c r="R70" s="68" t="n"/>
      <c r="S70" s="37" t="n"/>
      <c r="T70" s="38">
        <f>IF(OR(H70="",S70=""),"",H70*S70)</f>
        <v/>
      </c>
    </row>
    <row r="71" ht="15.75" customHeight="1" s="59">
      <c r="A71" s="9" t="n">
        <v>8</v>
      </c>
      <c r="B71" s="10" t="n"/>
      <c r="C71" s="48" t="n"/>
      <c r="D71" s="10" t="n"/>
      <c r="E71" s="10" t="n"/>
      <c r="F71" s="67" t="n"/>
      <c r="G71" s="68" t="n"/>
      <c r="H71" s="10" t="n"/>
      <c r="I71" s="10" t="n"/>
      <c r="J71" s="10" t="n"/>
      <c r="K71" s="10" t="n"/>
      <c r="L71" s="10" t="n"/>
      <c r="M71" s="67" t="n"/>
      <c r="N71" s="67" t="n"/>
      <c r="O71" s="67" t="n"/>
      <c r="P71" s="67" t="n"/>
      <c r="Q71" s="67" t="n"/>
      <c r="R71" s="68" t="n"/>
      <c r="S71" s="37" t="n"/>
      <c r="T71" s="38">
        <f>IF(OR(H71="",S71=""),"",H71*S71)</f>
        <v/>
      </c>
    </row>
    <row r="72" ht="15.75" customHeight="1" s="59">
      <c r="A72" s="9" t="n">
        <v>9</v>
      </c>
      <c r="B72" s="10" t="n"/>
      <c r="C72" s="48" t="n"/>
      <c r="D72" s="10" t="n"/>
      <c r="E72" s="10" t="n"/>
      <c r="F72" s="67" t="n"/>
      <c r="G72" s="68" t="n"/>
      <c r="H72" s="10" t="n"/>
      <c r="I72" s="10" t="n"/>
      <c r="J72" s="10" t="n"/>
      <c r="K72" s="10" t="n"/>
      <c r="L72" s="10" t="n"/>
      <c r="M72" s="67" t="n"/>
      <c r="N72" s="67" t="n"/>
      <c r="O72" s="67" t="n"/>
      <c r="P72" s="67" t="n"/>
      <c r="Q72" s="67" t="n"/>
      <c r="R72" s="68" t="n"/>
      <c r="S72" s="37" t="n"/>
      <c r="T72" s="38">
        <f>IF(OR(H72="",S72=""),"",H72*S72)</f>
        <v/>
      </c>
    </row>
    <row r="73" ht="15.75" customHeight="1" s="59">
      <c r="A73" s="9" t="n">
        <v>10</v>
      </c>
      <c r="B73" s="10" t="n"/>
      <c r="C73" s="48" t="n"/>
      <c r="D73" s="10" t="n"/>
      <c r="E73" s="10" t="n"/>
      <c r="F73" s="67" t="n"/>
      <c r="G73" s="68" t="n"/>
      <c r="H73" s="10" t="n"/>
      <c r="I73" s="10" t="n"/>
      <c r="J73" s="10" t="n"/>
      <c r="K73" s="10" t="n"/>
      <c r="L73" s="10" t="n"/>
      <c r="M73" s="67" t="n"/>
      <c r="N73" s="67" t="n"/>
      <c r="O73" s="67" t="n"/>
      <c r="P73" s="67" t="n"/>
      <c r="Q73" s="67" t="n"/>
      <c r="R73" s="68" t="n"/>
      <c r="S73" s="37" t="n"/>
      <c r="T73" s="38">
        <f>IF(OR(H73="",S73=""),"",H73*S73)</f>
        <v/>
      </c>
    </row>
    <row r="74" ht="15.75" customHeight="1" s="59">
      <c r="A74" s="9" t="n">
        <v>11</v>
      </c>
      <c r="B74" s="10" t="n"/>
      <c r="C74" s="48" t="n"/>
      <c r="D74" s="10" t="n"/>
      <c r="E74" s="10" t="n"/>
      <c r="F74" s="67" t="n"/>
      <c r="G74" s="68" t="n"/>
      <c r="H74" s="10" t="n"/>
      <c r="I74" s="10" t="n"/>
      <c r="J74" s="10" t="n"/>
      <c r="K74" s="10" t="n"/>
      <c r="L74" s="10" t="n"/>
      <c r="M74" s="67" t="n"/>
      <c r="N74" s="67" t="n"/>
      <c r="O74" s="67" t="n"/>
      <c r="P74" s="67" t="n"/>
      <c r="Q74" s="67" t="n"/>
      <c r="R74" s="68" t="n"/>
      <c r="S74" s="37" t="n"/>
      <c r="T74" s="38">
        <f>IF(OR(H74="",S74=""),"",H74*S74)</f>
        <v/>
      </c>
    </row>
    <row r="75" ht="15.75" customHeight="1" s="59">
      <c r="A75" s="9" t="n">
        <v>12</v>
      </c>
      <c r="B75" s="10" t="n"/>
      <c r="C75" s="48" t="n"/>
      <c r="D75" s="10" t="n"/>
      <c r="E75" s="10" t="n"/>
      <c r="F75" s="67" t="n"/>
      <c r="G75" s="68" t="n"/>
      <c r="H75" s="10" t="n"/>
      <c r="I75" s="10" t="n"/>
      <c r="J75" s="10" t="n"/>
      <c r="K75" s="10" t="n"/>
      <c r="L75" s="10" t="n"/>
      <c r="M75" s="67" t="n"/>
      <c r="N75" s="67" t="n"/>
      <c r="O75" s="67" t="n"/>
      <c r="P75" s="67" t="n"/>
      <c r="Q75" s="67" t="n"/>
      <c r="R75" s="68" t="n"/>
      <c r="S75" s="37" t="n"/>
      <c r="T75" s="38">
        <f>IF(OR(H75="",S75=""),"",H75*S75)</f>
        <v/>
      </c>
    </row>
    <row r="76" ht="15.75" customHeight="1" s="59">
      <c r="A76" s="9" t="n">
        <v>13</v>
      </c>
      <c r="B76" s="10" t="n"/>
      <c r="C76" s="48" t="n"/>
      <c r="D76" s="10" t="n"/>
      <c r="E76" s="10" t="n"/>
      <c r="F76" s="67" t="n"/>
      <c r="G76" s="68" t="n"/>
      <c r="H76" s="10" t="n"/>
      <c r="I76" s="10" t="n"/>
      <c r="J76" s="10" t="n"/>
      <c r="K76" s="10" t="n"/>
      <c r="L76" s="10" t="n"/>
      <c r="M76" s="67" t="n"/>
      <c r="N76" s="67" t="n"/>
      <c r="O76" s="67" t="n"/>
      <c r="P76" s="67" t="n"/>
      <c r="Q76" s="67" t="n"/>
      <c r="R76" s="68" t="n"/>
      <c r="S76" s="37" t="n"/>
      <c r="T76" s="38">
        <f>IF(OR(H76="",S76=""),"",H76*S76)</f>
        <v/>
      </c>
    </row>
    <row r="77" ht="15.75" customHeight="1" s="59">
      <c r="A77" s="9" t="n">
        <v>14</v>
      </c>
      <c r="B77" s="10" t="n"/>
      <c r="C77" s="48" t="n"/>
      <c r="D77" s="10" t="n"/>
      <c r="E77" s="10" t="n"/>
      <c r="F77" s="67" t="n"/>
      <c r="G77" s="68" t="n"/>
      <c r="H77" s="10" t="n"/>
      <c r="I77" s="10" t="n"/>
      <c r="J77" s="10" t="n"/>
      <c r="K77" s="10" t="n"/>
      <c r="L77" s="10" t="n"/>
      <c r="M77" s="67" t="n"/>
      <c r="N77" s="67" t="n"/>
      <c r="O77" s="67" t="n"/>
      <c r="P77" s="67" t="n"/>
      <c r="Q77" s="67" t="n"/>
      <c r="R77" s="68" t="n"/>
      <c r="S77" s="37" t="n"/>
      <c r="T77" s="38">
        <f>IF(OR(H77="",S77=""),"",H77*S77)</f>
        <v/>
      </c>
    </row>
    <row r="78" ht="15.75" customHeight="1" s="59">
      <c r="A78" s="9" t="n">
        <v>15</v>
      </c>
      <c r="B78" s="10" t="n"/>
      <c r="C78" s="48" t="n"/>
      <c r="D78" s="10" t="n"/>
      <c r="E78" s="10" t="n"/>
      <c r="F78" s="67" t="n"/>
      <c r="G78" s="68" t="n"/>
      <c r="H78" s="10" t="n"/>
      <c r="I78" s="10" t="n"/>
      <c r="J78" s="10" t="n"/>
      <c r="K78" s="10" t="n"/>
      <c r="L78" s="10" t="n"/>
      <c r="M78" s="67" t="n"/>
      <c r="N78" s="67" t="n"/>
      <c r="O78" s="67" t="n"/>
      <c r="P78" s="67" t="n"/>
      <c r="Q78" s="67" t="n"/>
      <c r="R78" s="68" t="n"/>
      <c r="S78" s="37" t="n"/>
      <c r="T78" s="38">
        <f>IF(OR(H78="",S78=""),"",H78*S78)</f>
        <v/>
      </c>
    </row>
    <row r="79" ht="15.75" customHeight="1" s="59"/>
    <row r="80" ht="15.75" customHeight="1" s="59"/>
    <row r="81" ht="15.75" customHeight="1" s="59">
      <c r="A81" s="5" t="inlineStr">
        <is>
          <t>SUMMARY (system): cost per ONE item, from the RATES tab. Do not type here.</t>
        </is>
      </c>
    </row>
    <row r="82" ht="15.75" customHeight="1" s="59">
      <c r="C82" s="5" t="inlineStr">
        <is>
          <t>Solid wood m³</t>
        </is>
      </c>
      <c r="D82" s="25">
        <f>SUM(M18:M42)</f>
        <v/>
      </c>
    </row>
    <row r="83" ht="15.75" customHeight="1" s="59">
      <c r="C83" s="5" t="inlineStr">
        <is>
          <t>Panel sheets</t>
        </is>
      </c>
      <c r="D83" s="17">
        <f>SUM(P46:P60)</f>
        <v/>
      </c>
    </row>
    <row r="84" ht="15.75" customHeight="1" s="59">
      <c r="C84" s="5" t="inlineStr">
        <is>
          <t>Finishing m² (exposed)</t>
        </is>
      </c>
      <c r="D84" s="19">
        <f>SUMIF(I18:I42,"Y",N18:N42)+SUMIF(I46:I60,1,N46:N60)+2*SUMIF(I46:I60,2,N46:N60)</f>
        <v/>
      </c>
      <c r="F84" s="2" t="inlineStr">
        <is>
          <t>one face (L × W) per exposed solid component + exposed panel faces</t>
        </is>
      </c>
    </row>
    <row r="85" ht="15.75" customHeight="1" s="59">
      <c r="C85" s="5" t="inlineStr">
        <is>
          <t>Cartons</t>
        </is>
      </c>
      <c r="D85" s="39">
        <f>G15</f>
        <v/>
      </c>
    </row>
    <row r="86" ht="15.75" customHeight="1" s="59">
      <c r="C86" s="5" t="inlineStr">
        <is>
          <t>Carton m³</t>
        </is>
      </c>
      <c r="D86" s="19">
        <f>M15</f>
        <v/>
      </c>
    </row>
    <row r="87" ht="15.75" customHeight="1" s="59">
      <c r="C87" s="5" t="inlineStr">
        <is>
          <t>TIMBER</t>
        </is>
      </c>
      <c r="D87" s="12">
        <f>SUM(T18:T42)</f>
        <v/>
      </c>
      <c r="F87" s="2" t="inlineStr">
        <is>
          <t>Σ component m³ × tier rate (yield, processing and carpentry labour inside)</t>
        </is>
      </c>
    </row>
    <row r="88" ht="15.75" customHeight="1" s="59">
      <c r="C88" s="5" t="inlineStr">
        <is>
          <t>FASTENERS</t>
        </is>
      </c>
      <c r="D88" s="12">
        <f>D82*RATES!$C$46</f>
        <v/>
      </c>
      <c r="F88" s="2" t="inlineStr">
        <is>
          <t>solid wood m³ × FASTENERS</t>
        </is>
      </c>
    </row>
    <row r="89" ht="15.75" customHeight="1" s="59">
      <c r="C89" s="5" t="inlineStr">
        <is>
          <t>PANELS</t>
        </is>
      </c>
      <c r="D89" s="12">
        <f>SUM(T46:T60)</f>
        <v/>
      </c>
      <c r="F89" s="2" t="inlineStr">
        <is>
          <t>sheets charged × sheet rate (nested, or manual sheets)</t>
        </is>
      </c>
    </row>
    <row r="90" ht="15.75" customHeight="1" s="59">
      <c r="C90" s="5" t="inlineStr">
        <is>
          <t>FINISHING MATERIALS</t>
        </is>
      </c>
      <c r="D90" s="12">
        <f>D84*RATES!$C$47*IF($C$5="NONE (RAW)",0,1)</f>
        <v/>
      </c>
      <c r="F90" s="2" t="inlineStr">
        <is>
          <t>exposed m² × FIN_MAT (Zhanchen + thinner). All four finishing lines = 0 when FINISH RECIPE is NONE (RAW)</t>
        </is>
      </c>
    </row>
    <row r="91" ht="15.75" customHeight="1" s="59">
      <c r="C91" s="5" t="inlineStr">
        <is>
          <t>SANDING MATERIALS</t>
        </is>
      </c>
      <c r="D91" s="12">
        <f>D84*RATES!$C$48*IF($C$5="NONE (RAW)",0,1)</f>
        <v/>
      </c>
      <c r="F91" s="2" t="inlineStr">
        <is>
          <t>exposed m² × SAND_MAT (abrasives)</t>
        </is>
      </c>
    </row>
    <row r="92" ht="15.75" customHeight="1" s="59">
      <c r="C92" s="5" t="inlineStr">
        <is>
          <t>SANDING LABOUR</t>
        </is>
      </c>
      <c r="D92" s="12">
        <f>D84*RATES!$C$49*IF($C$5="NONE (RAW)",0,1)</f>
        <v/>
      </c>
      <c r="F92" s="2" t="inlineStr">
        <is>
          <t>exposed m² × SAND_LAB</t>
        </is>
      </c>
    </row>
    <row r="93" ht="15.75" customHeight="1" s="59">
      <c r="C93" s="5" t="inlineStr">
        <is>
          <t>FINISHING LABOUR</t>
        </is>
      </c>
      <c r="D93" s="12">
        <f>D84*RATES!$C$50*IF($C$5="NONE (RAW)",0,1)</f>
        <v/>
      </c>
      <c r="F93" s="2" t="inlineStr">
        <is>
          <t>exposed m² × FIN_LAB</t>
        </is>
      </c>
    </row>
    <row r="94" ht="15.75" customHeight="1" s="59">
      <c r="C94" s="5" t="inlineStr">
        <is>
          <t>HARDWARE</t>
        </is>
      </c>
      <c r="D94" s="12">
        <f>SUM(T64:T78)</f>
        <v/>
      </c>
      <c r="F94" s="2" t="inlineStr">
        <is>
          <t>Σ hardware &amp; bought-in lines (qty × unit price entered by the team)</t>
        </is>
      </c>
    </row>
    <row r="95" ht="15.75" customHeight="1" s="59">
      <c r="C95" s="5" t="inlineStr">
        <is>
          <t>PACKING</t>
        </is>
      </c>
      <c r="D95" s="12">
        <f>IF(L15=0,0,IF(L15&lt;RATES!$C$95,RATES!$C$53*G15,L15*RATES!$C$51*(1+IF(G15&gt;1,RATES!$C$96,0)))+M15*RATES!$C$52)</f>
        <v/>
      </c>
      <c r="F95" s="2" t="inlineStr">
        <is>
          <t>carton m² × CARTON_M2 + carton m³ × PACK_LAB</t>
        </is>
      </c>
    </row>
    <row r="96" ht="15.75" customHeight="1" s="59">
      <c r="C96" s="5" t="inlineStr">
        <is>
          <t>DIRECT COST</t>
        </is>
      </c>
      <c r="D96" s="16">
        <f>SUM(D87:D95)</f>
        <v/>
      </c>
    </row>
    <row r="97" ht="15.75" customHeight="1" s="59">
      <c r="C97" s="5" t="inlineStr">
        <is>
          <t>MISC 5%</t>
        </is>
      </c>
      <c r="D97" s="12">
        <f>D96*RATES!$C$54</f>
        <v/>
      </c>
      <c r="F97" s="2" t="inlineStr">
        <is>
          <t>direct × MISC_PCT</t>
        </is>
      </c>
    </row>
    <row r="98" ht="15.75" customHeight="1" s="59">
      <c r="C98" s="5" t="inlineStr">
        <is>
          <t>OVERHEAD</t>
        </is>
      </c>
      <c r="D98" s="12">
        <f>(D96+D97)*RATES!$C$55</f>
        <v/>
      </c>
      <c r="F98" s="2" t="inlineStr">
        <is>
          <t>(direct + misc) × OH_PCT</t>
        </is>
      </c>
    </row>
    <row r="99" ht="15.75" customHeight="1" s="59">
      <c r="C99" s="5" t="inlineStr">
        <is>
          <t>UNIT COST IDR</t>
        </is>
      </c>
      <c r="D99" s="16">
        <f>D96+D97+D98</f>
        <v/>
      </c>
    </row>
    <row r="100" ht="15.75" customHeight="1" s="59">
      <c r="C100" s="5" t="inlineStr">
        <is>
          <t>Carton board m² (6 sides)</t>
        </is>
      </c>
      <c r="D100" s="19">
        <f>L15</f>
        <v/>
      </c>
    </row>
    <row r="101" ht="15.75" customHeight="1" s="59">
      <c r="C101" s="5" t="inlineStr">
        <is>
          <t>ORDER QTY × UNIT COST</t>
        </is>
      </c>
      <c r="D101" s="16">
        <f>IF(ISNUMBER(C4),C4,0)*D99</f>
        <v/>
      </c>
    </row>
    <row r="102" ht="15.75" customHeight="1" s="59">
      <c r="C102" s="5" t="inlineStr">
        <is>
          <t>Open input checks</t>
        </is>
      </c>
      <c r="D102" s="40">
        <f>COUNTIF(R18:R42,"?*")-COUNTIF(R18:R42,"OK")+COUNTIF(R46:R60,"?*")-COUNTIF(R46:R60,"OK")+COUNTIF(S18:S60,"rate?")</f>
        <v/>
      </c>
      <c r="F102" s="2" t="inlineStr">
        <is>
          <t>must be 0 before the item counts as costed (see CHECK column)</t>
        </is>
      </c>
    </row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mergeCells count="57">
    <mergeCell ref="D2:F2"/>
    <mergeCell ref="L69:R69"/>
    <mergeCell ref="G2:K2"/>
    <mergeCell ref="E69:G69"/>
    <mergeCell ref="E65:G65"/>
    <mergeCell ref="E78:G78"/>
    <mergeCell ref="L72:R72"/>
    <mergeCell ref="E74:G74"/>
    <mergeCell ref="A1:B1"/>
    <mergeCell ref="D7:F7"/>
    <mergeCell ref="A6:B6"/>
    <mergeCell ref="B12:C12"/>
    <mergeCell ref="E77:G77"/>
    <mergeCell ref="L65:R65"/>
    <mergeCell ref="G7:K7"/>
    <mergeCell ref="A7:B7"/>
    <mergeCell ref="B11:C11"/>
    <mergeCell ref="L77:R77"/>
    <mergeCell ref="L70:R70"/>
    <mergeCell ref="D4:F4"/>
    <mergeCell ref="D3:F3"/>
    <mergeCell ref="E70:G70"/>
    <mergeCell ref="B14:C14"/>
    <mergeCell ref="L67:R67"/>
    <mergeCell ref="G6:K6"/>
    <mergeCell ref="E76:G76"/>
    <mergeCell ref="A3:B3"/>
    <mergeCell ref="B13:C13"/>
    <mergeCell ref="L66:R66"/>
    <mergeCell ref="G3:K3"/>
    <mergeCell ref="E72:G72"/>
    <mergeCell ref="A2:B2"/>
    <mergeCell ref="L75:R75"/>
    <mergeCell ref="E66:G66"/>
    <mergeCell ref="L1:S8"/>
    <mergeCell ref="D5:F5"/>
    <mergeCell ref="E75:G75"/>
    <mergeCell ref="B10:C10"/>
    <mergeCell ref="A5:B5"/>
    <mergeCell ref="L78:R78"/>
    <mergeCell ref="G5:K5"/>
    <mergeCell ref="L68:R68"/>
    <mergeCell ref="E68:G68"/>
    <mergeCell ref="D1:F1"/>
    <mergeCell ref="G4:K4"/>
    <mergeCell ref="E71:G71"/>
    <mergeCell ref="L71:R71"/>
    <mergeCell ref="A4:B4"/>
    <mergeCell ref="L74:R74"/>
    <mergeCell ref="E67:G67"/>
    <mergeCell ref="G1:K1"/>
    <mergeCell ref="L64:R64"/>
    <mergeCell ref="E73:G73"/>
    <mergeCell ref="L73:R73"/>
    <mergeCell ref="E64:G64"/>
    <mergeCell ref="L76:R76"/>
    <mergeCell ref="D6:F6"/>
  </mergeCells>
  <dataValidations count="4">
    <dataValidation sqref="K18:K42" showDropDown="0" showInputMessage="0" showErrorMessage="0" allowBlank="1" type="list">
      <formula1>"A,A-CURVED,B,C,D"</formula1>
    </dataValidation>
    <dataValidation sqref="I46:I60" showDropDown="0" showInputMessage="0" showErrorMessage="0" allowBlank="1" type="list">
      <formula1>"0,1,2"</formula1>
    </dataValidation>
    <dataValidation sqref="C6 I18:J42" showDropDown="0" showInputMessage="1" showErrorMessage="1" allowBlank="1" errorTitle="Pilih dari daftar" error="Nilai di luar daftar; pilih dari dropdown agar rumus mengenalinya." type="list" errorStyle="warning">
      <formula1>"Y,N"</formula1>
    </dataValidation>
    <dataValidation sqref="B64:B78" showDropDown="0" showInputMessage="1" showErrorMessage="1" allowBlank="1" errorTitle="Pilih dari daftar" error="Nilai di luar daftar; pilih dari dropdown agar rumus mengenalinya." type="list" errorStyle="warning">
      <formula1>"I-00001,I-00002,I-00003,I-00004,I-00005,I-00006,I-00007,I-00008,I-00009,I-00010,DTC-SLIDE,DTC-SLIDE-10,DTC-HINGE,DTC-SLIDE-14,DTC-SLIDE-16,SLAT-BASE"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2578125" defaultRowHeight="15" customHeight="1"/>
  <cols>
    <col width="19" customWidth="1" style="59" min="1" max="1"/>
    <col width="62" customWidth="1" style="59" min="2" max="2"/>
    <col width="16" customWidth="1" style="59" min="3" max="3"/>
    <col width="11" customWidth="1" style="59" min="4" max="4"/>
    <col width="72" customWidth="1" style="59" min="5" max="5"/>
    <col width="8.7109375" customWidth="1" style="59" min="6" max="26"/>
  </cols>
  <sheetData>
    <row r="1" ht="15.75" customHeight="1" s="59">
      <c r="A1" s="1" t="inlineStr">
        <is>
          <t>RATES: PLV BOM Rate Card 29 Sep 26 (rates_version 2026-09-29), with the 30 Sep changes: finishing split into four rates, 40 × 40 section rule</t>
        </is>
      </c>
    </row>
    <row r="2">
      <c r="A2" s="2" t="inlineStr">
        <is>
          <t>Blue = base figure (change it and every cost in this workbook follows). Black = formula. Item tabs look rates up by the code in column A. Only the rate owner edits this tab.</t>
        </is>
      </c>
    </row>
    <row r="3">
      <c r="A3" s="5" t="inlineStr">
        <is>
          <t>Same rate card as the PLV BOM Costing Workbook v3 (teak, mindi, meranti, plywood). No rates yet for oak / ash, MDF, oak veneer, rattan or metal frames.</t>
        </is>
      </c>
    </row>
    <row r="4" ht="30" customHeight="1" s="59">
      <c r="A4" s="8" t="inlineStr">
        <is>
          <t>code</t>
        </is>
      </c>
      <c r="B4" s="8" t="inlineStr">
        <is>
          <t>Description</t>
        </is>
      </c>
      <c r="C4" s="8" t="inlineStr">
        <is>
          <t>Value</t>
        </is>
      </c>
      <c r="D4" s="8" t="inlineStr">
        <is>
          <t>Unit</t>
        </is>
      </c>
      <c r="E4" s="8" t="inlineStr">
        <is>
          <t>Source</t>
        </is>
      </c>
    </row>
    <row r="5">
      <c r="A5" s="3" t="inlineStr">
        <is>
          <t>BASE FIGURES: STMV (Standard Maldives) ledger, payroll and vendor lists</t>
        </is>
      </c>
      <c r="B5" s="4" t="n"/>
      <c r="C5" s="4" t="n"/>
      <c r="D5" s="4" t="n"/>
      <c r="E5" s="4" t="n"/>
    </row>
    <row r="6">
      <c r="A6" s="5" t="inlineStr">
        <is>
          <t>log_teak</t>
        </is>
      </c>
      <c r="B6" s="2" t="inlineStr">
        <is>
          <t>Teak log price, implied</t>
        </is>
      </c>
      <c r="C6" s="41" t="n">
        <v>6000000</v>
      </c>
      <c r="D6" s="2" t="inlineStr">
        <is>
          <t>IDR/m³</t>
        </is>
      </c>
      <c r="E6" s="2" t="inlineStr">
        <is>
          <t>Ledger 152.3m ÷ 14 m³. Status CONFIRM: replace with nota price</t>
        </is>
      </c>
    </row>
    <row r="7">
      <c r="A7" s="5" t="inlineStr">
        <is>
          <t>log_mindi</t>
        </is>
      </c>
      <c r="B7" s="2" t="inlineStr">
        <is>
          <t>Mindi log price, implied</t>
        </is>
      </c>
      <c r="C7" s="41" t="n">
        <v>3000000</v>
      </c>
      <c r="D7" s="2" t="inlineStr">
        <is>
          <t>IDR/m³</t>
        </is>
      </c>
      <c r="E7" s="2" t="inlineStr">
        <is>
          <t>Ledger 126.1m ÷ 41 m³. Status CONFIRM</t>
        </is>
      </c>
    </row>
    <row r="8">
      <c r="A8" s="5" t="inlineStr">
        <is>
          <t>meranti_sawn</t>
        </is>
      </c>
      <c r="B8" s="2" t="inlineStr">
        <is>
          <t>Meranti dry sawn timber</t>
        </is>
      </c>
      <c r="C8" s="41" t="n">
        <v>8500000</v>
      </c>
      <c r="D8" s="2" t="inlineStr">
        <is>
          <t>IDR/m³</t>
        </is>
      </c>
      <c r="E8" s="2" t="inlineStr">
        <is>
          <t>STMV BOM price. Status CONFIRM</t>
        </is>
      </c>
    </row>
    <row r="9">
      <c r="A9" s="5" t="inlineStr">
        <is>
          <t>processing</t>
        </is>
      </c>
      <c r="B9" s="2" t="inlineStr">
        <is>
          <t>Wood processing (kiln + sawmill + hauling + sawmill staff), per m³ of log</t>
        </is>
      </c>
      <c r="C9" s="41" t="n">
        <v>598978</v>
      </c>
      <c r="D9" s="2" t="inlineStr">
        <is>
          <t>IDR/m³</t>
        </is>
      </c>
      <c r="E9" s="2" t="inlineStr">
        <is>
          <t>Ledger ÷ 75.82 m³ teak + mindi</t>
        </is>
      </c>
    </row>
    <row r="10">
      <c r="A10" s="5" t="inlineStr">
        <is>
          <t>carp_pool</t>
        </is>
      </c>
      <c r="B10" s="2" t="inlineStr">
        <is>
          <t>Carpentry payroll pool Mar–Sep 2026</t>
        </is>
      </c>
      <c r="C10" s="41" t="n">
        <v>270175017</v>
      </c>
      <c r="D10" s="2" t="inlineStr">
        <is>
          <t>IDR</t>
        </is>
      </c>
      <c r="E10" s="2" t="inlineStr">
        <is>
          <t>Payroll categorised by name, 29 Sep</t>
        </is>
      </c>
    </row>
    <row r="11">
      <c r="A11" s="5" t="inlineStr">
        <is>
          <t>carp_deduct</t>
        </is>
      </c>
      <c r="B11" s="2" t="inlineStr">
        <is>
          <t>Less panel cutting / pressing (already in panel rate)</t>
        </is>
      </c>
      <c r="C11" s="42" t="n">
        <v>0.1</v>
      </c>
      <c r="D11" s="2" t="inlineStr">
        <is>
          <t>%</t>
        </is>
      </c>
      <c r="E11" s="2" t="inlineStr">
        <is>
          <t>Decision 29 Sep</t>
        </is>
      </c>
    </row>
    <row r="12">
      <c r="A12" s="5" t="inlineStr">
        <is>
          <t>comp_m3</t>
        </is>
      </c>
      <c r="B12" s="2" t="inlineStr">
        <is>
          <t>STMV solid wood in components (teak 12.21 + mindi 13.15 + meranti 7.20)</t>
        </is>
      </c>
      <c r="C12" s="43" t="n">
        <v>32.56</v>
      </c>
      <c r="D12" s="2" t="inlineStr">
        <is>
          <t>m³</t>
        </is>
      </c>
      <c r="E12" s="2" t="inlineStr">
        <is>
          <t>REVISI BOM 21 MEI 26</t>
        </is>
      </c>
    </row>
    <row r="13">
      <c r="A13" s="5" t="inlineStr">
        <is>
          <t>yield_A</t>
        </is>
      </c>
      <c r="B13" s="2" t="inlineStr">
        <is>
          <t>Yield factor tier A (exposed, straight, ≥ 1000 mm)</t>
        </is>
      </c>
      <c r="C13" s="43" t="n">
        <v>3.5</v>
      </c>
      <c r="D13" s="2" t="inlineStr">
        <is>
          <t>x</t>
        </is>
      </c>
      <c r="E13" s="2" t="inlineStr">
        <is>
          <t>Judgement, open item</t>
        </is>
      </c>
    </row>
    <row r="14">
      <c r="A14" s="5" t="inlineStr">
        <is>
          <t>yield_AC</t>
        </is>
      </c>
      <c r="B14" s="2" t="inlineStr">
        <is>
          <t>Yield factor tier A-CURVED / wide board</t>
        </is>
      </c>
      <c r="C14" s="43" t="n">
        <v>4.6</v>
      </c>
      <c r="D14" s="2" t="inlineStr">
        <is>
          <t>x</t>
        </is>
      </c>
      <c r="E14" s="2" t="inlineStr">
        <is>
          <t>STMV mindi</t>
        </is>
      </c>
    </row>
    <row r="15">
      <c r="A15" s="5" t="inlineStr">
        <is>
          <t>yield_B</t>
        </is>
      </c>
      <c r="B15" s="2" t="inlineStr">
        <is>
          <t>Yield factor tier B (exposed &lt; 1000 mm, or section ≤ 40 × 40 up to 1500 mm)</t>
        </is>
      </c>
      <c r="C15" s="43" t="n">
        <v>2.5</v>
      </c>
      <c r="D15" s="2" t="inlineStr">
        <is>
          <t>x</t>
        </is>
      </c>
      <c r="E15" s="2" t="inlineStr">
        <is>
          <t>Judgement, open item</t>
        </is>
      </c>
    </row>
    <row r="16">
      <c r="A16" s="5" t="inlineStr">
        <is>
          <t>yield_C</t>
        </is>
      </c>
      <c r="B16" s="2" t="inlineStr">
        <is>
          <t>Yield factor tier C (not exposed)</t>
        </is>
      </c>
      <c r="C16" s="43" t="n">
        <v>2</v>
      </c>
      <c r="D16" s="2" t="inlineStr">
        <is>
          <t>x</t>
        </is>
      </c>
      <c r="E16" s="2" t="inlineStr">
        <is>
          <t>STMV teak</t>
        </is>
      </c>
    </row>
    <row r="17">
      <c r="A17" s="5" t="inlineStr">
        <is>
          <t>yield_D</t>
        </is>
      </c>
      <c r="B17" s="2" t="inlineStr">
        <is>
          <t>Yield factor tier D (very small parts)</t>
        </is>
      </c>
      <c r="C17" s="43" t="n">
        <v>1.5</v>
      </c>
      <c r="D17" s="2" t="inlineStr">
        <is>
          <t>x</t>
        </is>
      </c>
      <c r="E17" s="2" t="inlineStr">
        <is>
          <t>Judgement, open item</t>
        </is>
      </c>
    </row>
    <row r="18">
      <c r="A18" s="5" t="inlineStr">
        <is>
          <t>yield_MER</t>
        </is>
      </c>
      <c r="B18" s="2" t="inlineStr">
        <is>
          <t>Meranti sawn-to-component yield</t>
        </is>
      </c>
      <c r="C18" s="43" t="n">
        <v>1.5</v>
      </c>
      <c r="D18" s="2" t="inlineStr">
        <is>
          <t>x</t>
        </is>
      </c>
      <c r="E18" s="2" t="inlineStr">
        <is>
          <t>Assumption</t>
        </is>
      </c>
    </row>
    <row r="19">
      <c r="A19" s="5" t="inlineStr">
        <is>
          <t>fast_total</t>
        </is>
      </c>
      <c r="B19" s="2" t="inlineStr">
        <is>
          <t>Screws, nails, dowels, wood glue: STMV ledger estimate</t>
        </is>
      </c>
      <c r="C19" s="41" t="n">
        <v>57000000</v>
      </c>
      <c r="D19" s="2" t="inlineStr">
        <is>
          <t>IDR</t>
        </is>
      </c>
      <c r="E19" s="2" t="inlineStr">
        <is>
          <t>Status CONFIRM</t>
        </is>
      </c>
    </row>
    <row r="20">
      <c r="A20" s="5" t="inlineStr">
        <is>
          <t>paint_total</t>
        </is>
      </c>
      <c r="B20" s="2" t="inlineStr">
        <is>
          <t>Finishing materials: Zhanchen all-in 52,888,326 + thinner 31,249,000</t>
        </is>
      </c>
      <c r="C20" s="41" t="n">
        <v>84137326</v>
      </c>
      <c r="D20" s="2" t="inlineStr">
        <is>
          <t>IDR</t>
        </is>
      </c>
      <c r="E20" s="2" t="inlineStr">
        <is>
          <t>Ledger, agreed 28 Sep</t>
        </is>
      </c>
    </row>
    <row r="21" ht="15.75" customHeight="1" s="59">
      <c r="A21" s="5" t="inlineStr">
        <is>
          <t>abrasive_total</t>
        </is>
      </c>
      <c r="B21" s="2" t="inlineStr">
        <is>
          <t>Sanding materials: abrasives / sandpaper</t>
        </is>
      </c>
      <c r="C21" s="41" t="n">
        <v>27713000</v>
      </c>
      <c r="D21" s="2" t="inlineStr">
        <is>
          <t>IDR</t>
        </is>
      </c>
      <c r="E21" s="2" t="inlineStr">
        <is>
          <t>Ledger, agreed 28 Sep</t>
        </is>
      </c>
    </row>
    <row r="22" ht="15.75" customHeight="1" s="59">
      <c r="A22" s="5" t="inlineStr">
        <is>
          <t>fin_pool</t>
        </is>
      </c>
      <c r="B22" s="2" t="inlineStr">
        <is>
          <t>Finishing payroll pool excl. sanding (finishing, PU, gerinda, helper)</t>
        </is>
      </c>
      <c r="C22" s="41" t="n">
        <v>192243271</v>
      </c>
      <c r="D22" s="2" t="inlineStr">
        <is>
          <t>IDR</t>
        </is>
      </c>
      <c r="E22" s="2" t="inlineStr">
        <is>
          <t>Payroll, 29 Sep</t>
        </is>
      </c>
    </row>
    <row r="23" ht="15.75" customHeight="1" s="59">
      <c r="A23" s="5" t="inlineStr">
        <is>
          <t>sand_pool</t>
        </is>
      </c>
      <c r="B23" s="2" t="inlineStr">
        <is>
          <t>Sanding payroll pool, as paid</t>
        </is>
      </c>
      <c r="C23" s="41" t="n">
        <v>131550191</v>
      </c>
      <c r="D23" s="2" t="inlineStr">
        <is>
          <t>IDR</t>
        </is>
      </c>
      <c r="E23" s="2" t="inlineStr">
        <is>
          <t>Payroll, 29 Sep</t>
        </is>
      </c>
    </row>
    <row r="24" ht="15.75" customHeight="1" s="59">
      <c r="A24" s="5" t="inlineStr">
        <is>
          <t>sand_keep</t>
        </is>
      </c>
      <c r="B24" s="2" t="inlineStr">
        <is>
          <t>Sanding share kept (35% removed: bleach re-sanding, packing work)</t>
        </is>
      </c>
      <c r="C24" s="42" t="n">
        <v>0.65</v>
      </c>
      <c r="D24" s="2" t="inlineStr">
        <is>
          <t>%</t>
        </is>
      </c>
      <c r="E24" s="2" t="inlineStr">
        <is>
          <t>Decision 29 Sep</t>
        </is>
      </c>
    </row>
    <row r="25" ht="15.75" customHeight="1" s="59">
      <c r="A25" s="5" t="inlineStr">
        <is>
          <t>fin_m2</t>
        </is>
      </c>
      <c r="B25" s="2" t="inlineStr">
        <is>
          <t>STMV finishing surface</t>
        </is>
      </c>
      <c r="C25" s="41" t="n">
        <v>2166</v>
      </c>
      <c r="D25" s="2" t="inlineStr">
        <is>
          <t>m²</t>
        </is>
      </c>
      <c r="E25" s="2" t="inlineStr">
        <is>
          <t>Items tab estimate</t>
        </is>
      </c>
    </row>
    <row r="26" ht="15.75" customHeight="1" s="59">
      <c r="A26" s="5" t="inlineStr">
        <is>
          <t>oh_pool</t>
        </is>
      </c>
      <c r="B26" s="2" t="inlineStr">
        <is>
          <t>Overhead payroll 213,627,079 + utilities 144,633,030 − PLN upgrade 49,700,000</t>
        </is>
      </c>
      <c r="C26" s="41" t="n">
        <v>308560109</v>
      </c>
      <c r="D26" s="2" t="inlineStr">
        <is>
          <t>IDR</t>
        </is>
      </c>
      <c r="E26" s="2" t="inlineStr">
        <is>
          <t>Payroll + reconciliation 23 Sep</t>
        </is>
      </c>
    </row>
    <row r="27" ht="15.75" customHeight="1" s="59">
      <c r="A27" s="5" t="inlineStr">
        <is>
          <t>stmv_direct</t>
        </is>
      </c>
      <c r="B27" s="2" t="inlineStr">
        <is>
          <t>STMV direct cost</t>
        </is>
      </c>
      <c r="C27" s="41" t="n">
        <v>2374841837</v>
      </c>
      <c r="D27" s="2" t="inlineStr">
        <is>
          <t>IDR</t>
        </is>
      </c>
      <c r="E27" s="2" t="inlineStr">
        <is>
          <t>Reconciliation 23 Sep, section A</t>
        </is>
      </c>
    </row>
    <row r="28" ht="15.75" customHeight="1" s="59">
      <c r="A28" s="5" t="inlineStr">
        <is>
          <t>glue_tape</t>
        </is>
      </c>
      <c r="B28" s="2" t="inlineStr">
        <is>
          <t>Adino glue + gum tape per m² veneered</t>
        </is>
      </c>
      <c r="C28" s="41" t="n">
        <v>10424</v>
      </c>
      <c r="D28" s="2" t="inlineStr">
        <is>
          <t>IDR/m²</t>
        </is>
      </c>
      <c r="E28" s="2" t="inlineStr">
        <is>
          <t>3,912,750 + 600,000 ÷ 432.9 m² (122 doors × 2 faces)</t>
        </is>
      </c>
    </row>
    <row r="29" ht="15.75" customHeight="1" s="59">
      <c r="A29" s="5" t="inlineStr">
        <is>
          <t>ven_teak</t>
        </is>
      </c>
      <c r="B29" s="2" t="inlineStr">
        <is>
          <t>Teak veneer per running metre (1.35 m wide)</t>
        </is>
      </c>
      <c r="C29" s="41" t="n">
        <v>110000</v>
      </c>
      <c r="D29" s="2" t="inlineStr">
        <is>
          <t>IDR/m</t>
        </is>
      </c>
      <c r="E29" s="2" t="inlineStr">
        <is>
          <t>User figure 28 Sep. Status CONFIRM</t>
        </is>
      </c>
    </row>
    <row r="30" ht="15.75" customHeight="1" s="59">
      <c r="A30" s="5" t="inlineStr">
        <is>
          <t>ven_mindi</t>
        </is>
      </c>
      <c r="B30" s="2" t="inlineStr">
        <is>
          <t>Mindi veneer per running metre</t>
        </is>
      </c>
      <c r="C30" s="41" t="n">
        <v>20000</v>
      </c>
      <c r="D30" s="2" t="inlineStr">
        <is>
          <t>IDR/m</t>
        </is>
      </c>
      <c r="E30" s="2" t="inlineStr">
        <is>
          <t>User figure 28 Sep. Status CONFIRM (width ≥ 1.22 m)</t>
        </is>
      </c>
    </row>
    <row r="31" ht="15.75" customHeight="1" s="59">
      <c r="A31" s="5" t="inlineStr">
        <is>
          <t>ven_len</t>
        </is>
      </c>
      <c r="B31" s="2" t="inlineStr">
        <is>
          <t>Veneer length used per face</t>
        </is>
      </c>
      <c r="C31" s="43" t="n">
        <v>2.5</v>
      </c>
      <c r="D31" s="2" t="inlineStr">
        <is>
          <t>m</t>
        </is>
      </c>
      <c r="E31" s="2" t="inlineStr">
        <is>
          <t>One 2.5 m length per face, offcuts not reused</t>
        </is>
      </c>
    </row>
    <row r="32" ht="15.75" customHeight="1" s="59">
      <c r="A32" s="5" t="inlineStr">
        <is>
          <t>ven_labour</t>
        </is>
      </c>
      <c r="B32" s="2" t="inlineStr">
        <is>
          <t>Pressing labour per face (tape, press, sand, cut)</t>
        </is>
      </c>
      <c r="C32" s="41" t="n">
        <v>57142.86</v>
      </c>
      <c r="D32" s="2" t="inlineStr">
        <is>
          <t>IDR/face</t>
        </is>
      </c>
      <c r="E32" s="2" t="inlineStr">
        <is>
          <t>800,000 ÷ 14 sheets. Status CONFIRM</t>
        </is>
      </c>
    </row>
    <row r="33" ht="15.75" customHeight="1" s="59">
      <c r="A33" s="3" t="inlineStr">
        <is>
          <t>RATE CARD: applied by the item tabs</t>
        </is>
      </c>
      <c r="B33" s="4" t="n"/>
      <c r="C33" s="4" t="n"/>
      <c r="D33" s="4" t="n"/>
      <c r="E33" s="4" t="n"/>
    </row>
    <row r="34" ht="15.75" customHeight="1" s="59">
      <c r="A34" s="5" t="inlineStr">
        <is>
          <t>LAB_CARP</t>
        </is>
      </c>
      <c r="B34" s="2" t="inlineStr">
        <is>
          <t>Carpentry labour per m³ of component (inside every tier rate)</t>
        </is>
      </c>
      <c r="C34" s="44">
        <f>$C$10*(1-$C$11)/$C$12</f>
        <v/>
      </c>
      <c r="D34" s="2" t="inlineStr">
        <is>
          <t>IDR/m³</t>
        </is>
      </c>
      <c r="E34" s="2" t="inlineStr">
        <is>
          <t>Pool less 10% ÷ component m³</t>
        </is>
      </c>
    </row>
    <row r="35" ht="15.75" customHeight="1" s="59">
      <c r="A35" s="5" t="inlineStr">
        <is>
          <t>TEAK_A</t>
        </is>
      </c>
      <c r="B35" s="2" t="inlineStr">
        <is>
          <t>Teak tier A</t>
        </is>
      </c>
      <c r="C35" s="44">
        <f>($C$6+$C$9)*$C$13+$C$34</f>
        <v/>
      </c>
      <c r="D35" s="2" t="inlineStr">
        <is>
          <t>IDR/m³</t>
        </is>
      </c>
      <c r="E35" s="2" t="inlineStr">
        <is>
          <t>(log + processing) × yield + labour</t>
        </is>
      </c>
    </row>
    <row r="36" ht="15.75" customHeight="1" s="59">
      <c r="A36" s="5" t="inlineStr">
        <is>
          <t>TEAK_AC</t>
        </is>
      </c>
      <c r="B36" s="2" t="inlineStr">
        <is>
          <t>Teak tier A-CURVED</t>
        </is>
      </c>
      <c r="C36" s="44">
        <f>($C$6+$C$9)*$C$14+$C$34</f>
        <v/>
      </c>
      <c r="D36" s="2" t="inlineStr">
        <is>
          <t>IDR/m³</t>
        </is>
      </c>
    </row>
    <row r="37" ht="15.75" customHeight="1" s="59">
      <c r="A37" s="5" t="inlineStr">
        <is>
          <t>TEAK_B</t>
        </is>
      </c>
      <c r="B37" s="2" t="inlineStr">
        <is>
          <t>Teak tier B</t>
        </is>
      </c>
      <c r="C37" s="44">
        <f>($C$6+$C$9)*$C$15+$C$34</f>
        <v/>
      </c>
      <c r="D37" s="2" t="inlineStr">
        <is>
          <t>IDR/m³</t>
        </is>
      </c>
    </row>
    <row r="38" ht="15.75" customHeight="1" s="59">
      <c r="A38" s="5" t="inlineStr">
        <is>
          <t>TEAK_C</t>
        </is>
      </c>
      <c r="B38" s="2" t="inlineStr">
        <is>
          <t>Teak tier C</t>
        </is>
      </c>
      <c r="C38" s="44">
        <f>($C$6+$C$9)*$C$16+$C$34</f>
        <v/>
      </c>
      <c r="D38" s="2" t="inlineStr">
        <is>
          <t>IDR/m³</t>
        </is>
      </c>
    </row>
    <row r="39" ht="15.75" customHeight="1" s="59">
      <c r="A39" s="5" t="inlineStr">
        <is>
          <t>TEAK_D</t>
        </is>
      </c>
      <c r="B39" s="2" t="inlineStr">
        <is>
          <t>Teak tier D</t>
        </is>
      </c>
      <c r="C39" s="44">
        <f>($C$6+$C$9)*$C$17+$C$34</f>
        <v/>
      </c>
      <c r="D39" s="2" t="inlineStr">
        <is>
          <t>IDR/m³</t>
        </is>
      </c>
    </row>
    <row r="40" ht="15.75" customHeight="1" s="59">
      <c r="A40" s="5" t="inlineStr">
        <is>
          <t>MINDI_A</t>
        </is>
      </c>
      <c r="B40" s="2" t="inlineStr">
        <is>
          <t>Mindi tier A</t>
        </is>
      </c>
      <c r="C40" s="44">
        <f>($C$7+$C$9)*$C$13+$C$34</f>
        <v/>
      </c>
      <c r="D40" s="2" t="inlineStr">
        <is>
          <t>IDR/m³</t>
        </is>
      </c>
    </row>
    <row r="41" ht="15.75" customHeight="1" s="59">
      <c r="A41" s="5" t="inlineStr">
        <is>
          <t>MINDI_AC</t>
        </is>
      </c>
      <c r="B41" s="2" t="inlineStr">
        <is>
          <t>Mindi tier A-CURVED</t>
        </is>
      </c>
      <c r="C41" s="44">
        <f>($C$7+$C$9)*$C$14+$C$34</f>
        <v/>
      </c>
      <c r="D41" s="2" t="inlineStr">
        <is>
          <t>IDR/m³</t>
        </is>
      </c>
    </row>
    <row r="42" ht="15.75" customHeight="1" s="59">
      <c r="A42" s="5" t="inlineStr">
        <is>
          <t>MINDI_B</t>
        </is>
      </c>
      <c r="B42" s="2" t="inlineStr">
        <is>
          <t>Mindi tier B</t>
        </is>
      </c>
      <c r="C42" s="44">
        <f>($C$7+$C$9)*$C$15+$C$34</f>
        <v/>
      </c>
      <c r="D42" s="2" t="inlineStr">
        <is>
          <t>IDR/m³</t>
        </is>
      </c>
    </row>
    <row r="43" ht="15.75" customHeight="1" s="59">
      <c r="A43" s="5" t="inlineStr">
        <is>
          <t>MINDI_C</t>
        </is>
      </c>
      <c r="B43" s="2" t="inlineStr">
        <is>
          <t>Mindi tier C</t>
        </is>
      </c>
      <c r="C43" s="44">
        <f>($C$7+$C$9)*$C$16+$C$34</f>
        <v/>
      </c>
      <c r="D43" s="2" t="inlineStr">
        <is>
          <t>IDR/m³</t>
        </is>
      </c>
    </row>
    <row r="44" ht="15.75" customHeight="1" s="59">
      <c r="A44" s="5" t="inlineStr">
        <is>
          <t>MINDI_D</t>
        </is>
      </c>
      <c r="B44" s="2" t="inlineStr">
        <is>
          <t>Mindi tier D</t>
        </is>
      </c>
      <c r="C44" s="44">
        <f>($C$7+$C$9)*$C$17+$C$34</f>
        <v/>
      </c>
      <c r="D44" s="2" t="inlineStr">
        <is>
          <t>IDR/m³</t>
        </is>
      </c>
    </row>
    <row r="45" ht="15.75" customHeight="1" s="59">
      <c r="A45" s="5" t="inlineStr">
        <is>
          <t>MERANTI</t>
        </is>
      </c>
      <c r="B45" s="2" t="inlineStr">
        <is>
          <t>Meranti, any tier</t>
        </is>
      </c>
      <c r="C45" s="44">
        <f>$C$8*$C$18+$C$34</f>
        <v/>
      </c>
      <c r="D45" s="2" t="inlineStr">
        <is>
          <t>IDR/m³</t>
        </is>
      </c>
      <c r="E45" s="2" t="inlineStr">
        <is>
          <t>Sawn price × yield + labour, no processing</t>
        </is>
      </c>
    </row>
    <row r="46" ht="15.75" customHeight="1" s="59">
      <c r="A46" s="5" t="inlineStr">
        <is>
          <t>FASTENERS</t>
        </is>
      </c>
      <c r="B46" s="2" t="inlineStr">
        <is>
          <t>Screws, nails, dowels, glue per m³ of component</t>
        </is>
      </c>
      <c r="C46" s="44">
        <f>$C$19/$C$12</f>
        <v/>
      </c>
      <c r="D46" s="2" t="inlineStr">
        <is>
          <t>IDR/m³</t>
        </is>
      </c>
    </row>
    <row r="47" ht="15.75" customHeight="1" s="59">
      <c r="A47" s="5" t="inlineStr">
        <is>
          <t>FIN_MAT</t>
        </is>
      </c>
      <c r="B47" s="2" t="inlineStr">
        <is>
          <t>Finishing materials (Zhanchen + thinner) per m² exposed</t>
        </is>
      </c>
      <c r="C47" s="44">
        <f>$C$20/$C$25</f>
        <v/>
      </c>
      <c r="D47" s="2" t="inlineStr">
        <is>
          <t>IDR/m²</t>
        </is>
      </c>
    </row>
    <row r="48" ht="15.75" customHeight="1" s="59">
      <c r="A48" s="5" t="inlineStr">
        <is>
          <t>SAND_MAT</t>
        </is>
      </c>
      <c r="B48" s="2" t="inlineStr">
        <is>
          <t>Sanding materials (abrasives) per m² exposed</t>
        </is>
      </c>
      <c r="C48" s="44">
        <f>$C$21/$C$25</f>
        <v/>
      </c>
      <c r="D48" s="2" t="inlineStr">
        <is>
          <t>IDR/m²</t>
        </is>
      </c>
    </row>
    <row r="49" ht="15.75" customHeight="1" s="59">
      <c r="A49" s="5" t="inlineStr">
        <is>
          <t>SAND_LAB</t>
        </is>
      </c>
      <c r="B49" s="2" t="inlineStr">
        <is>
          <t>Sanding labour (65% of sanding pool) per m² exposed</t>
        </is>
      </c>
      <c r="C49" s="44">
        <f>$C$23*$C$24/$C$25</f>
        <v/>
      </c>
      <c r="D49" s="2" t="inlineStr">
        <is>
          <t>IDR/m²</t>
        </is>
      </c>
    </row>
    <row r="50" ht="15.75" customHeight="1" s="59">
      <c r="A50" s="5" t="inlineStr">
        <is>
          <t>FIN_LAB</t>
        </is>
      </c>
      <c r="B50" s="2" t="inlineStr">
        <is>
          <t>Finishing labour (finishing pool) per m² exposed</t>
        </is>
      </c>
      <c r="C50" s="44">
        <f>$C$22/$C$25</f>
        <v/>
      </c>
      <c r="D50" s="2" t="inlineStr">
        <is>
          <t>IDR/m²</t>
        </is>
      </c>
    </row>
    <row r="51" ht="15.75" customHeight="1" s="59">
      <c r="A51" s="5" t="inlineStr">
        <is>
          <t>CARTON_M2</t>
        </is>
      </c>
      <c r="B51" s="2" t="inlineStr">
        <is>
          <t>Carton + consumables per m² of carton board (6 sides)</t>
        </is>
      </c>
      <c r="C51" s="41" t="n">
        <v>42000</v>
      </c>
      <c r="D51" s="2" t="inlineStr">
        <is>
          <t>IDR/m²</t>
        </is>
      </c>
      <c r="E51" s="2" t="inlineStr">
        <is>
          <t>Cartons 59.4m + 40% of other packing materials</t>
        </is>
      </c>
    </row>
    <row r="52" ht="15.75" customHeight="1" s="59">
      <c r="A52" s="5" t="inlineStr">
        <is>
          <t>PACK_LAB</t>
        </is>
      </c>
      <c r="B52" s="2" t="inlineStr">
        <is>
          <t>Packing labour per m³ of carton</t>
        </is>
      </c>
      <c r="C52" s="41" t="n">
        <v>100000</v>
      </c>
      <c r="D52" s="2" t="inlineStr">
        <is>
          <t>IDR/m³</t>
        </is>
      </c>
      <c r="E52" s="2" t="inlineStr">
        <is>
          <t>6 people × 8 days per container. Status CONFIRM</t>
        </is>
      </c>
    </row>
    <row r="53" ht="15.75" customHeight="1" s="59">
      <c r="A53" s="5" t="inlineStr">
        <is>
          <t>GRP_A</t>
        </is>
      </c>
      <c r="B53" s="2" t="inlineStr">
        <is>
          <t>Carton group A price (boxes under CARTON_MIN_M2)</t>
        </is>
      </c>
      <c r="C53" s="41" t="n">
        <v>24000</v>
      </c>
      <c r="D53" s="2" t="inlineStr">
        <is>
          <t>IDR</t>
        </is>
      </c>
      <c r="E53" s="2" t="inlineStr">
        <is>
          <t>STMV carton groups, 28 Sep</t>
        </is>
      </c>
    </row>
    <row r="54" ht="15.75" customHeight="1" s="59">
      <c r="A54" s="5" t="inlineStr">
        <is>
          <t>MISC_PCT</t>
        </is>
      </c>
      <c r="B54" s="2" t="inlineStr">
        <is>
          <t>Miscellaneous, × direct cost</t>
        </is>
      </c>
      <c r="C54" s="42" t="n">
        <v>0.05</v>
      </c>
      <c r="D54" s="2" t="inlineStr">
        <is>
          <t>%</t>
        </is>
      </c>
      <c r="E54" s="2" t="inlineStr">
        <is>
          <t>Decision 29 Sep</t>
        </is>
      </c>
    </row>
    <row r="55" ht="15.75" customHeight="1" s="59">
      <c r="A55" s="5" t="inlineStr">
        <is>
          <t>OH_PCT</t>
        </is>
      </c>
      <c r="B55" s="2" t="inlineStr">
        <is>
          <t>Overhead, × (direct + misc)</t>
        </is>
      </c>
      <c r="C55" s="45">
        <f>$C$26/$C$27</f>
        <v/>
      </c>
      <c r="D55" s="2" t="inlineStr">
        <is>
          <t>%</t>
        </is>
      </c>
      <c r="E55" s="2" t="inlineStr">
        <is>
          <t>Overhead pool ÷ STMV direct cost</t>
        </is>
      </c>
    </row>
    <row r="56" ht="15.75" customHeight="1" s="59">
      <c r="A56" s="3" t="inlineStr">
        <is>
          <t>PLYWOOD per 2440 × 1220 sheet. RAW = board only; MSF / MDF = mindi veneer 1 / 2 faces; TSF / TDF = teak veneer 1 / 2 faces</t>
        </is>
      </c>
      <c r="B56" s="4" t="n"/>
      <c r="C56" s="4" t="n"/>
      <c r="D56" s="4" t="n"/>
      <c r="E56" s="4" t="n"/>
    </row>
    <row r="57" ht="15.75" customHeight="1" s="59">
      <c r="A57" s="5" t="inlineStr">
        <is>
          <t>VEN_TEAK_FACE</t>
        </is>
      </c>
      <c r="B57" s="2" t="inlineStr">
        <is>
          <t>Teak veneer added cost per face (veneer + glue/tape + pressing labour)</t>
        </is>
      </c>
      <c r="C57" s="44">
        <f>$C$29*$C$31+$C$28*(LISTS!$F$6*LISTS!$F$7/1000000)+$C$32</f>
        <v/>
      </c>
      <c r="D57" s="2" t="inlineStr">
        <is>
          <t>IDR/face</t>
        </is>
      </c>
    </row>
    <row r="58" ht="15.75" customHeight="1" s="59">
      <c r="A58" s="5" t="inlineStr">
        <is>
          <t>VEN_MINDI_FACE</t>
        </is>
      </c>
      <c r="B58" s="2" t="inlineStr">
        <is>
          <t>Mindi veneer added cost per face</t>
        </is>
      </c>
      <c r="C58" s="44">
        <f>$C$30*$C$31+$C$28*(LISTS!$F$6*LISTS!$F$7/1000000)+$C$32</f>
        <v/>
      </c>
      <c r="D58" s="2" t="inlineStr">
        <is>
          <t>IDR/face</t>
        </is>
      </c>
    </row>
    <row r="59" ht="15.75" customHeight="1" s="59">
      <c r="A59" s="5" t="inlineStr">
        <is>
          <t>PLY-3-RAW</t>
        </is>
      </c>
      <c r="B59" s="2" t="inlineStr">
        <is>
          <t>Plywood 3 mm, raw</t>
        </is>
      </c>
      <c r="C59" s="41" t="n">
        <v>77500</v>
      </c>
      <c r="D59" s="2" t="inlineStr">
        <is>
          <t>IDR/sheet</t>
        </is>
      </c>
      <c r="E59" s="2" t="inlineStr">
        <is>
          <t>Mojo Indah list, Sep 2026</t>
        </is>
      </c>
    </row>
    <row r="60" ht="15.75" customHeight="1" s="59">
      <c r="A60" s="5" t="inlineStr">
        <is>
          <t>PLY-3-MSF</t>
        </is>
      </c>
      <c r="B60" s="2" t="inlineStr">
        <is>
          <t>Plywood 3 mm, mindi single face</t>
        </is>
      </c>
      <c r="C60" s="44" t="n">
        <v>225209.02</v>
      </c>
      <c r="D60" s="2" t="inlineStr">
        <is>
          <t>IDR/sheet</t>
        </is>
      </c>
    </row>
    <row r="61" ht="15.75" customHeight="1" s="59">
      <c r="A61" s="5" t="inlineStr">
        <is>
          <t>PLY-3-MDF</t>
        </is>
      </c>
      <c r="B61" s="2" t="inlineStr">
        <is>
          <t>Plywood 3 mm, mindi double face</t>
        </is>
      </c>
      <c r="C61" s="44" t="n">
        <v>372918.04</v>
      </c>
      <c r="D61" s="2" t="inlineStr">
        <is>
          <t>IDR/sheet</t>
        </is>
      </c>
    </row>
    <row r="62" ht="15.75" customHeight="1" s="59">
      <c r="A62" s="5" t="inlineStr">
        <is>
          <t>PLY-3-TSF</t>
        </is>
      </c>
      <c r="B62" s="2" t="inlineStr">
        <is>
          <t>Plywood 3 mm, teak single face</t>
        </is>
      </c>
      <c r="C62" s="44" t="n">
        <v>418701.02</v>
      </c>
      <c r="D62" s="2" t="inlineStr">
        <is>
          <t>IDR/sheet</t>
        </is>
      </c>
    </row>
    <row r="63" ht="15.75" customHeight="1" s="59">
      <c r="A63" s="5" t="inlineStr">
        <is>
          <t>PLY-3-TDF</t>
        </is>
      </c>
      <c r="B63" s="2" t="inlineStr">
        <is>
          <t>Plywood 3 mm, teak double face</t>
        </is>
      </c>
      <c r="C63" s="44" t="n">
        <v>759902.04</v>
      </c>
      <c r="D63" s="2" t="inlineStr">
        <is>
          <t>IDR/sheet</t>
        </is>
      </c>
    </row>
    <row r="64" ht="15.75" customHeight="1" s="59">
      <c r="A64" s="5" t="inlineStr">
        <is>
          <t>PLY-6-RAW</t>
        </is>
      </c>
      <c r="B64" s="2" t="inlineStr">
        <is>
          <t>Plywood 6 mm, raw</t>
        </is>
      </c>
      <c r="C64" s="41" t="n">
        <v>115000</v>
      </c>
      <c r="D64" s="2" t="inlineStr">
        <is>
          <t>IDR/sheet</t>
        </is>
      </c>
      <c r="E64" s="2" t="inlineStr">
        <is>
          <t>Mojo Indah list, Sep 2026</t>
        </is>
      </c>
    </row>
    <row r="65" ht="15.75" customHeight="1" s="59">
      <c r="A65" s="5" t="inlineStr">
        <is>
          <t>PLY-6-MSF</t>
        </is>
      </c>
      <c r="B65" s="2" t="inlineStr">
        <is>
          <t>Plywood 6 mm, mindi single face</t>
        </is>
      </c>
      <c r="C65" s="44" t="n">
        <v>262709.02</v>
      </c>
      <c r="D65" s="2" t="inlineStr">
        <is>
          <t>IDR/sheet</t>
        </is>
      </c>
    </row>
    <row r="66" ht="15.75" customHeight="1" s="59">
      <c r="A66" s="5" t="inlineStr">
        <is>
          <t>PLY-6-MDF</t>
        </is>
      </c>
      <c r="B66" s="2" t="inlineStr">
        <is>
          <t>Plywood 6 mm, mindi double face</t>
        </is>
      </c>
      <c r="C66" s="44" t="n">
        <v>410418.04</v>
      </c>
      <c r="D66" s="2" t="inlineStr">
        <is>
          <t>IDR/sheet</t>
        </is>
      </c>
    </row>
    <row r="67" ht="15.75" customHeight="1" s="59">
      <c r="A67" s="5" t="inlineStr">
        <is>
          <t>PLY-6-TSF</t>
        </is>
      </c>
      <c r="B67" s="2" t="inlineStr">
        <is>
          <t>Plywood 6 mm, teak single face</t>
        </is>
      </c>
      <c r="C67" s="44" t="n">
        <v>456201.02</v>
      </c>
      <c r="D67" s="2" t="inlineStr">
        <is>
          <t>IDR/sheet</t>
        </is>
      </c>
    </row>
    <row r="68" ht="15.75" customHeight="1" s="59">
      <c r="A68" s="5" t="inlineStr">
        <is>
          <t>PLY-6-TDF</t>
        </is>
      </c>
      <c r="B68" s="2" t="inlineStr">
        <is>
          <t>Plywood 6 mm, teak double face</t>
        </is>
      </c>
      <c r="C68" s="44" t="n">
        <v>797402.04</v>
      </c>
      <c r="D68" s="2" t="inlineStr">
        <is>
          <t>IDR/sheet</t>
        </is>
      </c>
    </row>
    <row r="69" ht="15.75" customHeight="1" s="59">
      <c r="A69" s="5" t="inlineStr">
        <is>
          <t>PLY-9-RAW</t>
        </is>
      </c>
      <c r="B69" s="2" t="inlineStr">
        <is>
          <t>Plywood 9 mm, raw</t>
        </is>
      </c>
      <c r="C69" s="41" t="n">
        <v>172500</v>
      </c>
      <c r="D69" s="2" t="inlineStr">
        <is>
          <t>IDR/sheet</t>
        </is>
      </c>
      <c r="E69" s="2" t="inlineStr">
        <is>
          <t>Mojo Indah list, Sep 2026</t>
        </is>
      </c>
    </row>
    <row r="70" ht="15.75" customHeight="1" s="59">
      <c r="A70" s="5" t="inlineStr">
        <is>
          <t>PLY-9-MSF</t>
        </is>
      </c>
      <c r="B70" s="2" t="inlineStr">
        <is>
          <t>Plywood 9 mm, mindi single face</t>
        </is>
      </c>
      <c r="C70" s="44" t="n">
        <v>320209.02</v>
      </c>
      <c r="D70" s="2" t="inlineStr">
        <is>
          <t>IDR/sheet</t>
        </is>
      </c>
    </row>
    <row r="71" ht="15.75" customHeight="1" s="59">
      <c r="A71" s="5" t="inlineStr">
        <is>
          <t>PLY-9-MDF</t>
        </is>
      </c>
      <c r="B71" s="2" t="inlineStr">
        <is>
          <t>Plywood 9 mm, mindi double face</t>
        </is>
      </c>
      <c r="C71" s="44" t="n">
        <v>467918.04</v>
      </c>
      <c r="D71" s="2" t="inlineStr">
        <is>
          <t>IDR/sheet</t>
        </is>
      </c>
    </row>
    <row r="72" ht="15.75" customHeight="1" s="59">
      <c r="A72" s="5" t="inlineStr">
        <is>
          <t>PLY-9-TSF</t>
        </is>
      </c>
      <c r="B72" s="2" t="inlineStr">
        <is>
          <t>Plywood 9 mm, teak single face</t>
        </is>
      </c>
      <c r="C72" s="44" t="n">
        <v>513701.02</v>
      </c>
      <c r="D72" s="2" t="inlineStr">
        <is>
          <t>IDR/sheet</t>
        </is>
      </c>
    </row>
    <row r="73" ht="15.75" customHeight="1" s="59">
      <c r="A73" s="5" t="inlineStr">
        <is>
          <t>PLY-9-TDF</t>
        </is>
      </c>
      <c r="B73" s="2" t="inlineStr">
        <is>
          <t>Plywood 9 mm, teak double face</t>
        </is>
      </c>
      <c r="C73" s="44" t="n">
        <v>854902.04</v>
      </c>
      <c r="D73" s="2" t="inlineStr">
        <is>
          <t>IDR/sheet</t>
        </is>
      </c>
    </row>
    <row r="74" ht="15.75" customHeight="1" s="59">
      <c r="A74" s="5" t="inlineStr">
        <is>
          <t>PLY-12-RAW</t>
        </is>
      </c>
      <c r="B74" s="2" t="inlineStr">
        <is>
          <t>Plywood 12 mm, raw</t>
        </is>
      </c>
      <c r="C74" s="41" t="n">
        <v>215000</v>
      </c>
      <c r="D74" s="2" t="inlineStr">
        <is>
          <t>IDR/sheet</t>
        </is>
      </c>
      <c r="E74" s="2" t="inlineStr">
        <is>
          <t>Mojo Indah list, Sep 2026</t>
        </is>
      </c>
    </row>
    <row r="75" ht="15.75" customHeight="1" s="59">
      <c r="A75" s="5" t="inlineStr">
        <is>
          <t>PLY-12-MSF</t>
        </is>
      </c>
      <c r="B75" s="2" t="inlineStr">
        <is>
          <t>Plywood 12 mm, mindi single face</t>
        </is>
      </c>
      <c r="C75" s="44" t="n">
        <v>362709.02</v>
      </c>
      <c r="D75" s="2" t="inlineStr">
        <is>
          <t>IDR/sheet</t>
        </is>
      </c>
    </row>
    <row r="76" ht="15.75" customHeight="1" s="59">
      <c r="A76" s="5" t="inlineStr">
        <is>
          <t>PLY-12-MDF</t>
        </is>
      </c>
      <c r="B76" s="2" t="inlineStr">
        <is>
          <t>Plywood 12 mm, mindi double face</t>
        </is>
      </c>
      <c r="C76" s="44" t="n">
        <v>510418.04</v>
      </c>
      <c r="D76" s="2" t="inlineStr">
        <is>
          <t>IDR/sheet</t>
        </is>
      </c>
    </row>
    <row r="77" ht="15.75" customHeight="1" s="59">
      <c r="A77" s="5" t="inlineStr">
        <is>
          <t>PLY-12-TSF</t>
        </is>
      </c>
      <c r="B77" s="2" t="inlineStr">
        <is>
          <t>Plywood 12 mm, teak single face</t>
        </is>
      </c>
      <c r="C77" s="44" t="n">
        <v>556201.02</v>
      </c>
      <c r="D77" s="2" t="inlineStr">
        <is>
          <t>IDR/sheet</t>
        </is>
      </c>
    </row>
    <row r="78" ht="15.75" customHeight="1" s="59">
      <c r="A78" s="5" t="inlineStr">
        <is>
          <t>PLY-12-TDF</t>
        </is>
      </c>
      <c r="B78" s="2" t="inlineStr">
        <is>
          <t>Plywood 12 mm, teak double face</t>
        </is>
      </c>
      <c r="C78" s="44" t="n">
        <v>897402.04</v>
      </c>
      <c r="D78" s="2" t="inlineStr">
        <is>
          <t>IDR/sheet</t>
        </is>
      </c>
    </row>
    <row r="79" ht="15.75" customHeight="1" s="59">
      <c r="A79" s="5" t="inlineStr">
        <is>
          <t>PLY-15-RAW</t>
        </is>
      </c>
      <c r="B79" s="2" t="inlineStr">
        <is>
          <t>Plywood 15 mm, raw</t>
        </is>
      </c>
      <c r="C79" s="41" t="n">
        <v>260000</v>
      </c>
      <c r="D79" s="2" t="inlineStr">
        <is>
          <t>IDR/sheet</t>
        </is>
      </c>
      <c r="E79" s="2" t="inlineStr">
        <is>
          <t>Mojo Indah list, Sep 2026</t>
        </is>
      </c>
    </row>
    <row r="80" ht="15.75" customHeight="1" s="59">
      <c r="A80" s="5" t="inlineStr">
        <is>
          <t>PLY-15-MSF</t>
        </is>
      </c>
      <c r="B80" s="2" t="inlineStr">
        <is>
          <t>Plywood 15 mm, mindi single face</t>
        </is>
      </c>
      <c r="C80" s="44" t="n">
        <v>407709.02</v>
      </c>
      <c r="D80" s="2" t="inlineStr">
        <is>
          <t>IDR/sheet</t>
        </is>
      </c>
    </row>
    <row r="81" ht="15.75" customHeight="1" s="59">
      <c r="A81" s="5" t="inlineStr">
        <is>
          <t>PLY-15-MDF</t>
        </is>
      </c>
      <c r="B81" s="2" t="inlineStr">
        <is>
          <t>Plywood 15 mm, mindi double face</t>
        </is>
      </c>
      <c r="C81" s="44" t="n">
        <v>555418.04</v>
      </c>
      <c r="D81" s="2" t="inlineStr">
        <is>
          <t>IDR/sheet</t>
        </is>
      </c>
    </row>
    <row r="82" ht="15.75" customHeight="1" s="59">
      <c r="A82" s="5" t="inlineStr">
        <is>
          <t>PLY-15-TSF</t>
        </is>
      </c>
      <c r="B82" s="2" t="inlineStr">
        <is>
          <t>Plywood 15 mm, teak single face</t>
        </is>
      </c>
      <c r="C82" s="44" t="n">
        <v>601201.02</v>
      </c>
      <c r="D82" s="2" t="inlineStr">
        <is>
          <t>IDR/sheet</t>
        </is>
      </c>
    </row>
    <row r="83" ht="15.75" customHeight="1" s="59">
      <c r="A83" s="5" t="inlineStr">
        <is>
          <t>PLY-15-TDF</t>
        </is>
      </c>
      <c r="B83" s="2" t="inlineStr">
        <is>
          <t>Plywood 15 mm, teak double face</t>
        </is>
      </c>
      <c r="C83" s="44" t="n">
        <v>942402.04</v>
      </c>
      <c r="D83" s="2" t="inlineStr">
        <is>
          <t>IDR/sheet</t>
        </is>
      </c>
    </row>
    <row r="84" ht="15.75" customHeight="1" s="59">
      <c r="A84" s="5" t="inlineStr">
        <is>
          <t>PLY-18-RAW</t>
        </is>
      </c>
      <c r="B84" s="2" t="inlineStr">
        <is>
          <t>Plywood 18 mm, raw</t>
        </is>
      </c>
      <c r="C84" s="41" t="n">
        <v>295000</v>
      </c>
      <c r="D84" s="2" t="inlineStr">
        <is>
          <t>IDR/sheet</t>
        </is>
      </c>
      <c r="E84" s="2" t="inlineStr">
        <is>
          <t>Mojo Indah list, Sep 2026</t>
        </is>
      </c>
    </row>
    <row r="85" ht="15.75" customHeight="1" s="59">
      <c r="A85" s="5" t="inlineStr">
        <is>
          <t>PLY-18-MSF</t>
        </is>
      </c>
      <c r="B85" s="2" t="inlineStr">
        <is>
          <t>Plywood 18 mm, mindi single face</t>
        </is>
      </c>
      <c r="C85" s="44" t="n">
        <v>442709.02</v>
      </c>
      <c r="D85" s="2" t="inlineStr">
        <is>
          <t>IDR/sheet</t>
        </is>
      </c>
    </row>
    <row r="86" ht="15.75" customHeight="1" s="59">
      <c r="A86" s="5" t="inlineStr">
        <is>
          <t>PLY-18-MDF</t>
        </is>
      </c>
      <c r="B86" s="2" t="inlineStr">
        <is>
          <t>Plywood 18 mm, mindi double face</t>
        </is>
      </c>
      <c r="C86" s="44" t="n">
        <v>590418.04</v>
      </c>
      <c r="D86" s="2" t="inlineStr">
        <is>
          <t>IDR/sheet</t>
        </is>
      </c>
    </row>
    <row r="87" ht="15.75" customHeight="1" s="59">
      <c r="A87" s="5" t="inlineStr">
        <is>
          <t>PLY-18-TSF</t>
        </is>
      </c>
      <c r="B87" s="2" t="inlineStr">
        <is>
          <t>Plywood 18 mm, teak single face</t>
        </is>
      </c>
      <c r="C87" s="44" t="n">
        <v>636201.02</v>
      </c>
      <c r="D87" s="2" t="inlineStr">
        <is>
          <t>IDR/sheet</t>
        </is>
      </c>
    </row>
    <row r="88" ht="15.75" customHeight="1" s="59">
      <c r="A88" s="5" t="inlineStr">
        <is>
          <t>PLY-18-TDF</t>
        </is>
      </c>
      <c r="B88" s="2" t="inlineStr">
        <is>
          <t>Plywood 18 mm, teak double face</t>
        </is>
      </c>
      <c r="C88" s="44" t="n">
        <v>977402.04</v>
      </c>
      <c r="D88" s="2" t="inlineStr">
        <is>
          <t>IDR/sheet</t>
        </is>
      </c>
    </row>
    <row r="89" ht="15.75" customHeight="1" s="59">
      <c r="A89" s="5" t="inlineStr">
        <is>
          <t>PLY-24-RAW</t>
        </is>
      </c>
      <c r="B89" s="2" t="inlineStr">
        <is>
          <t>Plywood 24 mm, raw</t>
        </is>
      </c>
      <c r="C89" s="41" t="n">
        <v>375000</v>
      </c>
      <c r="D89" s="2" t="inlineStr">
        <is>
          <t>IDR/sheet</t>
        </is>
      </c>
      <c r="E89" s="2" t="inlineStr">
        <is>
          <t>Extrapolated. Status CONFIRM</t>
        </is>
      </c>
    </row>
    <row r="90" ht="15.75" customHeight="1" s="59">
      <c r="A90" s="5" t="inlineStr">
        <is>
          <t>PLY-24-MSF</t>
        </is>
      </c>
      <c r="B90" s="2" t="inlineStr">
        <is>
          <t>Plywood 24 mm, mindi single face</t>
        </is>
      </c>
      <c r="C90" s="44" t="n">
        <v>522709.02</v>
      </c>
      <c r="D90" s="2" t="inlineStr">
        <is>
          <t>IDR/sheet</t>
        </is>
      </c>
    </row>
    <row r="91" ht="15.75" customHeight="1" s="59">
      <c r="A91" s="5" t="inlineStr">
        <is>
          <t>PLY-24-MDF</t>
        </is>
      </c>
      <c r="B91" s="2" t="inlineStr">
        <is>
          <t>Plywood 24 mm, mindi double face</t>
        </is>
      </c>
      <c r="C91" s="44" t="n">
        <v>670418.04</v>
      </c>
      <c r="D91" s="2" t="inlineStr">
        <is>
          <t>IDR/sheet</t>
        </is>
      </c>
    </row>
    <row r="92" ht="15.75" customHeight="1" s="59">
      <c r="A92" s="5" t="inlineStr">
        <is>
          <t>PLY-24-TSF</t>
        </is>
      </c>
      <c r="B92" s="2" t="inlineStr">
        <is>
          <t>Plywood 24 mm, teak single face</t>
        </is>
      </c>
      <c r="C92" s="44" t="n">
        <v>716201.02</v>
      </c>
      <c r="D92" s="2" t="inlineStr">
        <is>
          <t>IDR/sheet</t>
        </is>
      </c>
    </row>
    <row r="93" ht="15.75" customHeight="1" s="59">
      <c r="A93" s="5" t="inlineStr">
        <is>
          <t>PLY-24-TDF</t>
        </is>
      </c>
      <c r="B93" s="2" t="inlineStr">
        <is>
          <t>Plywood 24 mm, teak double face</t>
        </is>
      </c>
      <c r="C93" s="44" t="n">
        <v>1057402.04</v>
      </c>
      <c r="D93" s="2" t="inlineStr">
        <is>
          <t>IDR/sheet</t>
        </is>
      </c>
    </row>
    <row r="94" ht="15.75" customHeight="1" s="59">
      <c r="A94" s="3" t="inlineStr">
        <is>
          <t>NORMS</t>
        </is>
      </c>
      <c r="B94" s="4" t="n"/>
      <c r="C94" s="4" t="n"/>
      <c r="D94" s="4" t="n"/>
      <c r="E94" s="4" t="n"/>
    </row>
    <row r="95" ht="15.75" customHeight="1" s="59">
      <c r="A95" s="5" t="inlineStr">
        <is>
          <t>CARTON_MIN_M2</t>
        </is>
      </c>
      <c r="B95" s="2" t="inlineStr">
        <is>
          <t>Below this carton area use group A price</t>
        </is>
      </c>
      <c r="C95" s="43" t="n">
        <v>0.15</v>
      </c>
      <c r="D95" s="2" t="inlineStr">
        <is>
          <t>m²</t>
        </is>
      </c>
    </row>
    <row r="96" ht="15.75" customHeight="1" s="59">
      <c r="A96" s="5" t="inlineStr">
        <is>
          <t>KD_PACK_FACTOR</t>
        </is>
      </c>
      <c r="B96" s="2" t="inlineStr">
        <is>
          <t>Extra consumables factor for flatpack (2+ boxes)</t>
        </is>
      </c>
      <c r="C96" s="42" t="n">
        <v>0</v>
      </c>
      <c r="D96" s="2" t="inlineStr">
        <is>
          <t>%</t>
        </is>
      </c>
      <c r="E96" s="2" t="inlineStr">
        <is>
          <t>0 = off</t>
        </is>
      </c>
    </row>
    <row r="97" ht="15.75" customHeight="1" s="59">
      <c r="A97" s="5" t="inlineStr">
        <is>
          <t>WASTE_REUSE_MIN</t>
        </is>
      </c>
      <c r="B97" s="2" t="inlineStr">
        <is>
          <t>Offcut on the last sheet counts as reusable when waste exceeds this</t>
        </is>
      </c>
      <c r="C97" s="42" t="n">
        <v>0.25</v>
      </c>
      <c r="D97" s="2" t="inlineStr">
        <is>
          <t>%</t>
        </is>
      </c>
      <c r="E97" s="2" t="inlineStr">
        <is>
          <t>Decision 29 Sep</t>
        </is>
      </c>
    </row>
    <row r="98" ht="15.75" customHeight="1" s="59">
      <c r="A98" s="5" t="inlineStr">
        <is>
          <t>OFFCUT_HANDLING</t>
        </is>
      </c>
      <c r="B98" s="2" t="inlineStr">
        <is>
          <t>Handling factor on fractional sheets when the offcut is reused</t>
        </is>
      </c>
      <c r="C98" s="42" t="n">
        <v>0.05</v>
      </c>
      <c r="D98" s="2" t="inlineStr">
        <is>
          <t>%</t>
        </is>
      </c>
    </row>
    <row r="99" ht="15.75" customHeight="1" s="59">
      <c r="A99" t="inlineStr">
        <is>
          <t>PLY-12-CDF</t>
        </is>
      </c>
      <c r="C99" t="n">
        <v>718794.04</v>
      </c>
      <c r="D99" t="inlineStr">
        <is>
          <t>IDR/sheet</t>
        </is>
      </c>
      <c r="E99" t="inlineStr">
        <is>
          <t>rate card DB (price list 2026)</t>
        </is>
      </c>
    </row>
    <row r="100" ht="15.75" customHeight="1" s="59">
      <c r="A100" t="inlineStr">
        <is>
          <t>PLY-12-CSF</t>
        </is>
      </c>
      <c r="C100" t="n">
        <v>466897.02</v>
      </c>
      <c r="D100" t="inlineStr">
        <is>
          <t>IDR/sheet</t>
        </is>
      </c>
      <c r="E100" t="inlineStr">
        <is>
          <t>rate card DB (price list 2026)</t>
        </is>
      </c>
    </row>
    <row r="101" ht="15.75" customHeight="1" s="59">
      <c r="A101" t="inlineStr">
        <is>
          <t>PLY-12-HDF</t>
        </is>
      </c>
      <c r="C101" t="n">
        <v>510418.04</v>
      </c>
      <c r="D101" t="inlineStr">
        <is>
          <t>IDR/sheet</t>
        </is>
      </c>
      <c r="E101" t="inlineStr">
        <is>
          <t>rate card DB (price list 2026)</t>
        </is>
      </c>
    </row>
    <row r="102" ht="15.75" customHeight="1" s="59">
      <c r="A102" t="inlineStr">
        <is>
          <t>PLY-12-HSF</t>
        </is>
      </c>
      <c r="C102" t="n">
        <v>362709.02</v>
      </c>
      <c r="D102" t="inlineStr">
        <is>
          <t>IDR/sheet</t>
        </is>
      </c>
      <c r="E102" t="inlineStr">
        <is>
          <t>rate card DB (price list 2026)</t>
        </is>
      </c>
    </row>
    <row r="103" ht="15.75" customHeight="1" s="59">
      <c r="A103" t="inlineStr">
        <is>
          <t>PLY-12-ODF</t>
        </is>
      </c>
      <c r="C103" t="n">
        <v>1016474.04</v>
      </c>
      <c r="D103" t="inlineStr">
        <is>
          <t>IDR/sheet</t>
        </is>
      </c>
      <c r="E103" t="inlineStr">
        <is>
          <t>rate card DB (price list 2026)</t>
        </is>
      </c>
    </row>
    <row r="104" ht="15.75" customHeight="1" s="59">
      <c r="A104" t="inlineStr">
        <is>
          <t>PLY-12-OSF</t>
        </is>
      </c>
      <c r="C104" t="n">
        <v>615737.02</v>
      </c>
      <c r="D104" t="inlineStr">
        <is>
          <t>IDR/sheet</t>
        </is>
      </c>
      <c r="E104" t="inlineStr">
        <is>
          <t>rate card DB (price list 2026)</t>
        </is>
      </c>
    </row>
    <row r="105" ht="15.75" customHeight="1" s="59">
      <c r="A105" t="inlineStr">
        <is>
          <t>PLY-12-SDF</t>
        </is>
      </c>
      <c r="C105" t="n">
        <v>689026.04</v>
      </c>
      <c r="D105" t="inlineStr">
        <is>
          <t>IDR/sheet</t>
        </is>
      </c>
      <c r="E105" t="inlineStr">
        <is>
          <t>rate card DB (price list 2026)</t>
        </is>
      </c>
    </row>
    <row r="106" ht="15.75" customHeight="1" s="59">
      <c r="A106" t="inlineStr">
        <is>
          <t>PLY-12-SSF</t>
        </is>
      </c>
      <c r="C106" t="n">
        <v>452013.02</v>
      </c>
      <c r="D106" t="inlineStr">
        <is>
          <t>IDR/sheet</t>
        </is>
      </c>
      <c r="E106" t="inlineStr">
        <is>
          <t>rate card DB (price list 2026)</t>
        </is>
      </c>
    </row>
    <row r="107" ht="15.75" customHeight="1" s="59">
      <c r="A107" t="inlineStr">
        <is>
          <t>PLY-12-WDF</t>
        </is>
      </c>
      <c r="C107" t="n">
        <v>1105778.04</v>
      </c>
      <c r="D107" t="inlineStr">
        <is>
          <t>IDR/sheet</t>
        </is>
      </c>
      <c r="E107" t="inlineStr">
        <is>
          <t>rate card DB (price list 2026)</t>
        </is>
      </c>
    </row>
    <row r="108" ht="15.75" customHeight="1" s="59">
      <c r="A108" t="inlineStr">
        <is>
          <t>PLY-12-WSF</t>
        </is>
      </c>
      <c r="C108" t="n">
        <v>660389.02</v>
      </c>
      <c r="D108" t="inlineStr">
        <is>
          <t>IDR/sheet</t>
        </is>
      </c>
      <c r="E108" t="inlineStr">
        <is>
          <t>rate card DB (price list 2026)</t>
        </is>
      </c>
    </row>
    <row r="109" ht="15.75" customHeight="1" s="59">
      <c r="A109" t="inlineStr">
        <is>
          <t>PLY-15-CDF</t>
        </is>
      </c>
      <c r="C109" t="n">
        <v>763794.04</v>
      </c>
      <c r="D109" t="inlineStr">
        <is>
          <t>IDR/sheet</t>
        </is>
      </c>
      <c r="E109" t="inlineStr">
        <is>
          <t>rate card DB (price list 2026)</t>
        </is>
      </c>
    </row>
    <row r="110" ht="15.75" customHeight="1" s="59">
      <c r="A110" t="inlineStr">
        <is>
          <t>PLY-15-CSF</t>
        </is>
      </c>
      <c r="C110" t="n">
        <v>511897.02</v>
      </c>
      <c r="D110" t="inlineStr">
        <is>
          <t>IDR/sheet</t>
        </is>
      </c>
      <c r="E110" t="inlineStr">
        <is>
          <t>rate card DB (price list 2026)</t>
        </is>
      </c>
    </row>
    <row r="111" ht="15.75" customHeight="1" s="59">
      <c r="A111" t="inlineStr">
        <is>
          <t>PLY-15-HDF</t>
        </is>
      </c>
      <c r="C111" t="n">
        <v>555418.04</v>
      </c>
      <c r="D111" t="inlineStr">
        <is>
          <t>IDR/sheet</t>
        </is>
      </c>
      <c r="E111" t="inlineStr">
        <is>
          <t>rate card DB (price list 2026)</t>
        </is>
      </c>
    </row>
    <row r="112" ht="15.75" customHeight="1" s="59">
      <c r="A112" t="inlineStr">
        <is>
          <t>PLY-15-HSF</t>
        </is>
      </c>
      <c r="C112" t="n">
        <v>407709.02</v>
      </c>
      <c r="D112" t="inlineStr">
        <is>
          <t>IDR/sheet</t>
        </is>
      </c>
      <c r="E112" t="inlineStr">
        <is>
          <t>rate card DB (price list 2026)</t>
        </is>
      </c>
    </row>
    <row r="113" ht="15.75" customHeight="1" s="59">
      <c r="A113" t="inlineStr">
        <is>
          <t>PLY-15-ODF</t>
        </is>
      </c>
      <c r="C113" t="n">
        <v>1061474.04</v>
      </c>
      <c r="D113" t="inlineStr">
        <is>
          <t>IDR/sheet</t>
        </is>
      </c>
      <c r="E113" t="inlineStr">
        <is>
          <t>rate card DB (price list 2026)</t>
        </is>
      </c>
    </row>
    <row r="114" ht="15.75" customHeight="1" s="59">
      <c r="A114" t="inlineStr">
        <is>
          <t>PLY-15-OSF</t>
        </is>
      </c>
      <c r="C114" t="n">
        <v>660737.02</v>
      </c>
      <c r="D114" t="inlineStr">
        <is>
          <t>IDR/sheet</t>
        </is>
      </c>
      <c r="E114" t="inlineStr">
        <is>
          <t>rate card DB (price list 2026)</t>
        </is>
      </c>
    </row>
    <row r="115" ht="15.75" customHeight="1" s="59">
      <c r="A115" t="inlineStr">
        <is>
          <t>PLY-15-SDF</t>
        </is>
      </c>
      <c r="C115" t="n">
        <v>734026.04</v>
      </c>
      <c r="D115" t="inlineStr">
        <is>
          <t>IDR/sheet</t>
        </is>
      </c>
      <c r="E115" t="inlineStr">
        <is>
          <t>rate card DB (price list 2026)</t>
        </is>
      </c>
    </row>
    <row r="116" ht="15.75" customHeight="1" s="59">
      <c r="A116" t="inlineStr">
        <is>
          <t>PLY-15-SSF</t>
        </is>
      </c>
      <c r="C116" t="n">
        <v>497013.02</v>
      </c>
      <c r="D116" t="inlineStr">
        <is>
          <t>IDR/sheet</t>
        </is>
      </c>
      <c r="E116" t="inlineStr">
        <is>
          <t>rate card DB (price list 2026)</t>
        </is>
      </c>
    </row>
    <row r="117" ht="15.75" customHeight="1" s="59">
      <c r="A117" t="inlineStr">
        <is>
          <t>PLY-15-WDF</t>
        </is>
      </c>
      <c r="C117" t="n">
        <v>1150778.04</v>
      </c>
      <c r="D117" t="inlineStr">
        <is>
          <t>IDR/sheet</t>
        </is>
      </c>
      <c r="E117" t="inlineStr">
        <is>
          <t>rate card DB (price list 2026)</t>
        </is>
      </c>
    </row>
    <row r="118" ht="15.75" customHeight="1" s="59">
      <c r="A118" t="inlineStr">
        <is>
          <t>PLY-15-WSF</t>
        </is>
      </c>
      <c r="C118" t="n">
        <v>705389.02</v>
      </c>
      <c r="D118" t="inlineStr">
        <is>
          <t>IDR/sheet</t>
        </is>
      </c>
      <c r="E118" t="inlineStr">
        <is>
          <t>rate card DB (price list 2026)</t>
        </is>
      </c>
    </row>
    <row r="119" ht="15.75" customHeight="1" s="59">
      <c r="A119" t="inlineStr">
        <is>
          <t>PLY-18-CDF</t>
        </is>
      </c>
      <c r="C119" t="n">
        <v>798794.04</v>
      </c>
      <c r="D119" t="inlineStr">
        <is>
          <t>IDR/sheet</t>
        </is>
      </c>
      <c r="E119" t="inlineStr">
        <is>
          <t>rate card DB (price list 2026)</t>
        </is>
      </c>
    </row>
    <row r="120" ht="15.75" customHeight="1" s="59">
      <c r="A120" t="inlineStr">
        <is>
          <t>PLY-18-CSF</t>
        </is>
      </c>
      <c r="C120" t="n">
        <v>546897.02</v>
      </c>
      <c r="D120" t="inlineStr">
        <is>
          <t>IDR/sheet</t>
        </is>
      </c>
      <c r="E120" t="inlineStr">
        <is>
          <t>rate card DB (price list 2026)</t>
        </is>
      </c>
    </row>
    <row r="121" ht="15.75" customHeight="1" s="59">
      <c r="A121" t="inlineStr">
        <is>
          <t>PLY-18-HDF</t>
        </is>
      </c>
      <c r="C121" t="n">
        <v>590418.04</v>
      </c>
      <c r="D121" t="inlineStr">
        <is>
          <t>IDR/sheet</t>
        </is>
      </c>
      <c r="E121" t="inlineStr">
        <is>
          <t>rate card DB (price list 2026)</t>
        </is>
      </c>
    </row>
    <row r="122" ht="15.75" customHeight="1" s="59">
      <c r="A122" t="inlineStr">
        <is>
          <t>PLY-18-HSF</t>
        </is>
      </c>
      <c r="C122" t="n">
        <v>442709.02</v>
      </c>
      <c r="D122" t="inlineStr">
        <is>
          <t>IDR/sheet</t>
        </is>
      </c>
      <c r="E122" t="inlineStr">
        <is>
          <t>rate card DB (price list 2026)</t>
        </is>
      </c>
    </row>
    <row r="123" ht="15.75" customHeight="1" s="59">
      <c r="A123" t="inlineStr">
        <is>
          <t>PLY-18-ODF</t>
        </is>
      </c>
      <c r="C123" t="n">
        <v>1096474.04</v>
      </c>
      <c r="D123" t="inlineStr">
        <is>
          <t>IDR/sheet</t>
        </is>
      </c>
      <c r="E123" t="inlineStr">
        <is>
          <t>rate card DB (price list 2026)</t>
        </is>
      </c>
    </row>
    <row r="124" ht="15.75" customHeight="1" s="59">
      <c r="A124" t="inlineStr">
        <is>
          <t>PLY-18-OSF</t>
        </is>
      </c>
      <c r="C124" t="n">
        <v>695737.02</v>
      </c>
      <c r="D124" t="inlineStr">
        <is>
          <t>IDR/sheet</t>
        </is>
      </c>
      <c r="E124" t="inlineStr">
        <is>
          <t>rate card DB (price list 2026)</t>
        </is>
      </c>
    </row>
    <row r="125" ht="15.75" customHeight="1" s="59">
      <c r="A125" t="inlineStr">
        <is>
          <t>PLY-18-SDF</t>
        </is>
      </c>
      <c r="C125" t="n">
        <v>769026.04</v>
      </c>
      <c r="D125" t="inlineStr">
        <is>
          <t>IDR/sheet</t>
        </is>
      </c>
      <c r="E125" t="inlineStr">
        <is>
          <t>rate card DB (price list 2026)</t>
        </is>
      </c>
    </row>
    <row r="126" ht="15.75" customHeight="1" s="59">
      <c r="A126" t="inlineStr">
        <is>
          <t>PLY-18-SSF</t>
        </is>
      </c>
      <c r="C126" t="n">
        <v>532013.02</v>
      </c>
      <c r="D126" t="inlineStr">
        <is>
          <t>IDR/sheet</t>
        </is>
      </c>
      <c r="E126" t="inlineStr">
        <is>
          <t>rate card DB (price list 2026)</t>
        </is>
      </c>
    </row>
    <row r="127" ht="15.75" customHeight="1" s="59">
      <c r="A127" t="inlineStr">
        <is>
          <t>PLY-18-WDF</t>
        </is>
      </c>
      <c r="C127" t="n">
        <v>1185778.04</v>
      </c>
      <c r="D127" t="inlineStr">
        <is>
          <t>IDR/sheet</t>
        </is>
      </c>
      <c r="E127" t="inlineStr">
        <is>
          <t>rate card DB (price list 2026)</t>
        </is>
      </c>
    </row>
    <row r="128" ht="15.75" customHeight="1" s="59">
      <c r="A128" t="inlineStr">
        <is>
          <t>PLY-18-WSF</t>
        </is>
      </c>
      <c r="C128" t="n">
        <v>740389.02</v>
      </c>
      <c r="D128" t="inlineStr">
        <is>
          <t>IDR/sheet</t>
        </is>
      </c>
      <c r="E128" t="inlineStr">
        <is>
          <t>rate card DB (price list 2026)</t>
        </is>
      </c>
    </row>
    <row r="129" ht="15.75" customHeight="1" s="59">
      <c r="A129" t="inlineStr">
        <is>
          <t>PLY-24-CDF</t>
        </is>
      </c>
      <c r="C129" t="n">
        <v>878794.04</v>
      </c>
      <c r="D129" t="inlineStr">
        <is>
          <t>IDR/sheet</t>
        </is>
      </c>
      <c r="E129" t="inlineStr">
        <is>
          <t>rate card DB (price list 2026)</t>
        </is>
      </c>
    </row>
    <row r="130" ht="15.75" customHeight="1" s="59">
      <c r="A130" t="inlineStr">
        <is>
          <t>PLY-24-CSF</t>
        </is>
      </c>
      <c r="C130" t="n">
        <v>626897.02</v>
      </c>
      <c r="D130" t="inlineStr">
        <is>
          <t>IDR/sheet</t>
        </is>
      </c>
      <c r="E130" t="inlineStr">
        <is>
          <t>rate card DB (price list 2026)</t>
        </is>
      </c>
    </row>
    <row r="131" ht="15.75" customHeight="1" s="59">
      <c r="A131" t="inlineStr">
        <is>
          <t>PLY-24-HDF</t>
        </is>
      </c>
      <c r="C131" t="n">
        <v>670418.04</v>
      </c>
      <c r="D131" t="inlineStr">
        <is>
          <t>IDR/sheet</t>
        </is>
      </c>
      <c r="E131" t="inlineStr">
        <is>
          <t>rate card DB (price list 2026)</t>
        </is>
      </c>
    </row>
    <row r="132" ht="15.75" customHeight="1" s="59">
      <c r="A132" t="inlineStr">
        <is>
          <t>PLY-24-HSF</t>
        </is>
      </c>
      <c r="C132" t="n">
        <v>522709.02</v>
      </c>
      <c r="D132" t="inlineStr">
        <is>
          <t>IDR/sheet</t>
        </is>
      </c>
      <c r="E132" t="inlineStr">
        <is>
          <t>rate card DB (price list 2026)</t>
        </is>
      </c>
    </row>
    <row r="133" ht="15.75" customHeight="1" s="59">
      <c r="A133" t="inlineStr">
        <is>
          <t>PLY-24-ODF</t>
        </is>
      </c>
      <c r="C133" t="n">
        <v>1176474.04</v>
      </c>
      <c r="D133" t="inlineStr">
        <is>
          <t>IDR/sheet</t>
        </is>
      </c>
      <c r="E133" t="inlineStr">
        <is>
          <t>rate card DB (price list 2026)</t>
        </is>
      </c>
    </row>
    <row r="134" ht="15.75" customHeight="1" s="59">
      <c r="A134" t="inlineStr">
        <is>
          <t>PLY-24-OSF</t>
        </is>
      </c>
      <c r="C134" t="n">
        <v>775737.02</v>
      </c>
      <c r="D134" t="inlineStr">
        <is>
          <t>IDR/sheet</t>
        </is>
      </c>
      <c r="E134" t="inlineStr">
        <is>
          <t>rate card DB (price list 2026)</t>
        </is>
      </c>
    </row>
    <row r="135" ht="15.75" customHeight="1" s="59">
      <c r="A135" t="inlineStr">
        <is>
          <t>PLY-24-SDF</t>
        </is>
      </c>
      <c r="C135" t="n">
        <v>849026.04</v>
      </c>
      <c r="D135" t="inlineStr">
        <is>
          <t>IDR/sheet</t>
        </is>
      </c>
      <c r="E135" t="inlineStr">
        <is>
          <t>rate card DB (price list 2026)</t>
        </is>
      </c>
    </row>
    <row r="136" ht="15.75" customHeight="1" s="59">
      <c r="A136" t="inlineStr">
        <is>
          <t>PLY-24-SSF</t>
        </is>
      </c>
      <c r="C136" t="n">
        <v>612013.02</v>
      </c>
      <c r="D136" t="inlineStr">
        <is>
          <t>IDR/sheet</t>
        </is>
      </c>
      <c r="E136" t="inlineStr">
        <is>
          <t>rate card DB (price list 2026)</t>
        </is>
      </c>
    </row>
    <row r="137" ht="15.75" customHeight="1" s="59">
      <c r="A137" t="inlineStr">
        <is>
          <t>PLY-24-WDF</t>
        </is>
      </c>
      <c r="C137" t="n">
        <v>1265778.04</v>
      </c>
      <c r="D137" t="inlineStr">
        <is>
          <t>IDR/sheet</t>
        </is>
      </c>
      <c r="E137" t="inlineStr">
        <is>
          <t>rate card DB (price list 2026)</t>
        </is>
      </c>
    </row>
    <row r="138" ht="15.75" customHeight="1" s="59">
      <c r="A138" t="inlineStr">
        <is>
          <t>PLY-24-WSF</t>
        </is>
      </c>
      <c r="C138" t="n">
        <v>820389.02</v>
      </c>
      <c r="D138" t="inlineStr">
        <is>
          <t>IDR/sheet</t>
        </is>
      </c>
      <c r="E138" t="inlineStr">
        <is>
          <t>rate card DB (price list 2026)</t>
        </is>
      </c>
    </row>
    <row r="139" ht="15.75" customHeight="1" s="59">
      <c r="A139" t="inlineStr">
        <is>
          <t>PLY-3-CDF</t>
        </is>
      </c>
      <c r="C139" t="n">
        <v>581294.04</v>
      </c>
      <c r="D139" t="inlineStr">
        <is>
          <t>IDR/sheet</t>
        </is>
      </c>
      <c r="E139" t="inlineStr">
        <is>
          <t>rate card DB (price list 2026)</t>
        </is>
      </c>
    </row>
    <row r="140" ht="15.75" customHeight="1" s="59">
      <c r="A140" t="inlineStr">
        <is>
          <t>PLY-3-CSF</t>
        </is>
      </c>
      <c r="C140" t="n">
        <v>329397.02</v>
      </c>
      <c r="D140" t="inlineStr">
        <is>
          <t>IDR/sheet</t>
        </is>
      </c>
      <c r="E140" t="inlineStr">
        <is>
          <t>rate card DB (price list 2026)</t>
        </is>
      </c>
    </row>
    <row r="141" ht="15.75" customHeight="1" s="59">
      <c r="A141" t="inlineStr">
        <is>
          <t>PLY-3-HDF</t>
        </is>
      </c>
      <c r="C141" t="n">
        <v>372918.04</v>
      </c>
      <c r="D141" t="inlineStr">
        <is>
          <t>IDR/sheet</t>
        </is>
      </c>
      <c r="E141" t="inlineStr">
        <is>
          <t>rate card DB (price list 2026)</t>
        </is>
      </c>
    </row>
    <row r="142" ht="15.75" customHeight="1" s="59">
      <c r="A142" t="inlineStr">
        <is>
          <t>PLY-3-HSF</t>
        </is>
      </c>
      <c r="C142" t="n">
        <v>225209.02</v>
      </c>
      <c r="D142" t="inlineStr">
        <is>
          <t>IDR/sheet</t>
        </is>
      </c>
      <c r="E142" t="inlineStr">
        <is>
          <t>rate card DB (price list 2026)</t>
        </is>
      </c>
    </row>
    <row r="143" ht="15.75" customHeight="1" s="59">
      <c r="A143" t="inlineStr">
        <is>
          <t>PLY-3-ODF</t>
        </is>
      </c>
      <c r="C143" t="n">
        <v>878974.04</v>
      </c>
      <c r="D143" t="inlineStr">
        <is>
          <t>IDR/sheet</t>
        </is>
      </c>
      <c r="E143" t="inlineStr">
        <is>
          <t>rate card DB (price list 2026)</t>
        </is>
      </c>
    </row>
    <row r="144" ht="15.75" customHeight="1" s="59">
      <c r="A144" t="inlineStr">
        <is>
          <t>PLY-3-OSF</t>
        </is>
      </c>
      <c r="C144" t="n">
        <v>478237.02</v>
      </c>
      <c r="D144" t="inlineStr">
        <is>
          <t>IDR/sheet</t>
        </is>
      </c>
      <c r="E144" t="inlineStr">
        <is>
          <t>rate card DB (price list 2026)</t>
        </is>
      </c>
    </row>
    <row r="145" ht="15.75" customHeight="1" s="59">
      <c r="A145" t="inlineStr">
        <is>
          <t>PLY-3-SDF</t>
        </is>
      </c>
      <c r="C145" t="n">
        <v>551526.04</v>
      </c>
      <c r="D145" t="inlineStr">
        <is>
          <t>IDR/sheet</t>
        </is>
      </c>
      <c r="E145" t="inlineStr">
        <is>
          <t>rate card DB (price list 2026)</t>
        </is>
      </c>
    </row>
    <row r="146" ht="15.75" customHeight="1" s="59">
      <c r="A146" t="inlineStr">
        <is>
          <t>PLY-3-SSF</t>
        </is>
      </c>
      <c r="C146" t="n">
        <v>314513.02</v>
      </c>
      <c r="D146" t="inlineStr">
        <is>
          <t>IDR/sheet</t>
        </is>
      </c>
      <c r="E146" t="inlineStr">
        <is>
          <t>rate card DB (price list 2026)</t>
        </is>
      </c>
    </row>
    <row r="147" ht="15.75" customHeight="1" s="59">
      <c r="A147" t="inlineStr">
        <is>
          <t>PLY-3-WDF</t>
        </is>
      </c>
      <c r="C147" t="n">
        <v>968278.04</v>
      </c>
      <c r="D147" t="inlineStr">
        <is>
          <t>IDR/sheet</t>
        </is>
      </c>
      <c r="E147" t="inlineStr">
        <is>
          <t>rate card DB (price list 2026)</t>
        </is>
      </c>
    </row>
    <row r="148" ht="15.75" customHeight="1" s="59">
      <c r="A148" t="inlineStr">
        <is>
          <t>PLY-3-WSF</t>
        </is>
      </c>
      <c r="C148" t="n">
        <v>522889.02</v>
      </c>
      <c r="D148" t="inlineStr">
        <is>
          <t>IDR/sheet</t>
        </is>
      </c>
      <c r="E148" t="inlineStr">
        <is>
          <t>rate card DB (price list 2026)</t>
        </is>
      </c>
    </row>
    <row r="149" ht="15.75" customHeight="1" s="59">
      <c r="A149" t="inlineStr">
        <is>
          <t>PLY-6-CDF</t>
        </is>
      </c>
      <c r="C149" t="n">
        <v>618794.04</v>
      </c>
      <c r="D149" t="inlineStr">
        <is>
          <t>IDR/sheet</t>
        </is>
      </c>
      <c r="E149" t="inlineStr">
        <is>
          <t>rate card DB (price list 2026)</t>
        </is>
      </c>
    </row>
    <row r="150" ht="15.75" customHeight="1" s="59">
      <c r="A150" t="inlineStr">
        <is>
          <t>PLY-6-CSF</t>
        </is>
      </c>
      <c r="C150" t="n">
        <v>366897.02</v>
      </c>
      <c r="D150" t="inlineStr">
        <is>
          <t>IDR/sheet</t>
        </is>
      </c>
      <c r="E150" t="inlineStr">
        <is>
          <t>rate card DB (price list 2026)</t>
        </is>
      </c>
    </row>
    <row r="151" ht="15.75" customHeight="1" s="59">
      <c r="A151" t="inlineStr">
        <is>
          <t>PLY-6-HDF</t>
        </is>
      </c>
      <c r="C151" t="n">
        <v>410418.04</v>
      </c>
      <c r="D151" t="inlineStr">
        <is>
          <t>IDR/sheet</t>
        </is>
      </c>
      <c r="E151" t="inlineStr">
        <is>
          <t>rate card DB (price list 2026)</t>
        </is>
      </c>
    </row>
    <row r="152" ht="15.75" customHeight="1" s="59">
      <c r="A152" t="inlineStr">
        <is>
          <t>PLY-6-HSF</t>
        </is>
      </c>
      <c r="C152" t="n">
        <v>262709.02</v>
      </c>
      <c r="D152" t="inlineStr">
        <is>
          <t>IDR/sheet</t>
        </is>
      </c>
      <c r="E152" t="inlineStr">
        <is>
          <t>rate card DB (price list 2026)</t>
        </is>
      </c>
    </row>
    <row r="153" ht="15.75" customHeight="1" s="59">
      <c r="A153" t="inlineStr">
        <is>
          <t>PLY-6-ODF</t>
        </is>
      </c>
      <c r="C153" t="n">
        <v>916474.04</v>
      </c>
      <c r="D153" t="inlineStr">
        <is>
          <t>IDR/sheet</t>
        </is>
      </c>
      <c r="E153" t="inlineStr">
        <is>
          <t>rate card DB (price list 2026)</t>
        </is>
      </c>
    </row>
    <row r="154" ht="15.75" customHeight="1" s="59">
      <c r="A154" t="inlineStr">
        <is>
          <t>PLY-6-OSF</t>
        </is>
      </c>
      <c r="C154" t="n">
        <v>515737.02</v>
      </c>
      <c r="D154" t="inlineStr">
        <is>
          <t>IDR/sheet</t>
        </is>
      </c>
      <c r="E154" t="inlineStr">
        <is>
          <t>rate card DB (price list 2026)</t>
        </is>
      </c>
    </row>
    <row r="155" ht="15.75" customHeight="1" s="59">
      <c r="A155" t="inlineStr">
        <is>
          <t>PLY-6-SDF</t>
        </is>
      </c>
      <c r="C155" t="n">
        <v>589026.04</v>
      </c>
      <c r="D155" t="inlineStr">
        <is>
          <t>IDR/sheet</t>
        </is>
      </c>
      <c r="E155" t="inlineStr">
        <is>
          <t>rate card DB (price list 2026)</t>
        </is>
      </c>
    </row>
    <row r="156" ht="15.75" customHeight="1" s="59">
      <c r="A156" t="inlineStr">
        <is>
          <t>PLY-6-SSF</t>
        </is>
      </c>
      <c r="C156" t="n">
        <v>352013.02</v>
      </c>
      <c r="D156" t="inlineStr">
        <is>
          <t>IDR/sheet</t>
        </is>
      </c>
      <c r="E156" t="inlineStr">
        <is>
          <t>rate card DB (price list 2026)</t>
        </is>
      </c>
    </row>
    <row r="157" ht="15.75" customHeight="1" s="59">
      <c r="A157" t="inlineStr">
        <is>
          <t>PLY-6-WDF</t>
        </is>
      </c>
      <c r="C157" t="n">
        <v>1005778.04</v>
      </c>
      <c r="D157" t="inlineStr">
        <is>
          <t>IDR/sheet</t>
        </is>
      </c>
      <c r="E157" t="inlineStr">
        <is>
          <t>rate card DB (price list 2026)</t>
        </is>
      </c>
    </row>
    <row r="158" ht="15.75" customHeight="1" s="59">
      <c r="A158" t="inlineStr">
        <is>
          <t>PLY-6-WSF</t>
        </is>
      </c>
      <c r="C158" t="n">
        <v>560389.02</v>
      </c>
      <c r="D158" t="inlineStr">
        <is>
          <t>IDR/sheet</t>
        </is>
      </c>
      <c r="E158" t="inlineStr">
        <is>
          <t>rate card DB (price list 2026)</t>
        </is>
      </c>
    </row>
    <row r="159" ht="15.75" customHeight="1" s="59">
      <c r="A159" t="inlineStr">
        <is>
          <t>PLY-9-CDF</t>
        </is>
      </c>
      <c r="C159" t="n">
        <v>676294.04</v>
      </c>
      <c r="D159" t="inlineStr">
        <is>
          <t>IDR/sheet</t>
        </is>
      </c>
      <c r="E159" t="inlineStr">
        <is>
          <t>rate card DB (price list 2026)</t>
        </is>
      </c>
    </row>
    <row r="160" ht="15.75" customHeight="1" s="59">
      <c r="A160" t="inlineStr">
        <is>
          <t>PLY-9-CSF</t>
        </is>
      </c>
      <c r="C160" t="n">
        <v>424397.02</v>
      </c>
      <c r="D160" t="inlineStr">
        <is>
          <t>IDR/sheet</t>
        </is>
      </c>
      <c r="E160" t="inlineStr">
        <is>
          <t>rate card DB (price list 2026)</t>
        </is>
      </c>
    </row>
    <row r="161" ht="15.75" customHeight="1" s="59">
      <c r="A161" t="inlineStr">
        <is>
          <t>PLY-9-HDF</t>
        </is>
      </c>
      <c r="C161" t="n">
        <v>467918.04</v>
      </c>
      <c r="D161" t="inlineStr">
        <is>
          <t>IDR/sheet</t>
        </is>
      </c>
      <c r="E161" t="inlineStr">
        <is>
          <t>rate card DB (price list 2026)</t>
        </is>
      </c>
    </row>
    <row r="162" ht="15.75" customHeight="1" s="59">
      <c r="A162" t="inlineStr">
        <is>
          <t>PLY-9-HSF</t>
        </is>
      </c>
      <c r="C162" t="n">
        <v>320209.02</v>
      </c>
      <c r="D162" t="inlineStr">
        <is>
          <t>IDR/sheet</t>
        </is>
      </c>
      <c r="E162" t="inlineStr">
        <is>
          <t>rate card DB (price list 2026)</t>
        </is>
      </c>
    </row>
    <row r="163" ht="15.75" customHeight="1" s="59">
      <c r="A163" t="inlineStr">
        <is>
          <t>PLY-9-ODF</t>
        </is>
      </c>
      <c r="C163" t="n">
        <v>973974.04</v>
      </c>
      <c r="D163" t="inlineStr">
        <is>
          <t>IDR/sheet</t>
        </is>
      </c>
      <c r="E163" t="inlineStr">
        <is>
          <t>rate card DB (price list 2026)</t>
        </is>
      </c>
    </row>
    <row r="164" ht="15.75" customHeight="1" s="59">
      <c r="A164" t="inlineStr">
        <is>
          <t>PLY-9-OSF</t>
        </is>
      </c>
      <c r="C164" t="n">
        <v>573237.02</v>
      </c>
      <c r="D164" t="inlineStr">
        <is>
          <t>IDR/sheet</t>
        </is>
      </c>
      <c r="E164" t="inlineStr">
        <is>
          <t>rate card DB (price list 2026)</t>
        </is>
      </c>
    </row>
    <row r="165" ht="15.75" customHeight="1" s="59">
      <c r="A165" t="inlineStr">
        <is>
          <t>PLY-9-SDF</t>
        </is>
      </c>
      <c r="C165" t="n">
        <v>646526.04</v>
      </c>
      <c r="D165" t="inlineStr">
        <is>
          <t>IDR/sheet</t>
        </is>
      </c>
      <c r="E165" t="inlineStr">
        <is>
          <t>rate card DB (price list 2026)</t>
        </is>
      </c>
    </row>
    <row r="166" ht="15.75" customHeight="1" s="59">
      <c r="A166" t="inlineStr">
        <is>
          <t>PLY-9-SSF</t>
        </is>
      </c>
      <c r="C166" t="n">
        <v>409513.02</v>
      </c>
      <c r="D166" t="inlineStr">
        <is>
          <t>IDR/sheet</t>
        </is>
      </c>
      <c r="E166" t="inlineStr">
        <is>
          <t>rate card DB (price list 2026)</t>
        </is>
      </c>
    </row>
    <row r="167" ht="15.75" customHeight="1" s="59">
      <c r="A167" t="inlineStr">
        <is>
          <t>PLY-9-WDF</t>
        </is>
      </c>
      <c r="C167" t="n">
        <v>1063278.04</v>
      </c>
      <c r="D167" t="inlineStr">
        <is>
          <t>IDR/sheet</t>
        </is>
      </c>
      <c r="E167" t="inlineStr">
        <is>
          <t>rate card DB (price list 2026)</t>
        </is>
      </c>
    </row>
    <row r="168" ht="15.75" customHeight="1" s="59">
      <c r="A168" t="inlineStr">
        <is>
          <t>PLY-9-WSF</t>
        </is>
      </c>
      <c r="C168" t="n">
        <v>617889.02</v>
      </c>
      <c r="D168" t="inlineStr">
        <is>
          <t>IDR/sheet</t>
        </is>
      </c>
      <c r="E168" t="inlineStr">
        <is>
          <t>rate card DB (price list 2026)</t>
        </is>
      </c>
    </row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ColWidth="14.42578125" defaultRowHeight="15" customHeight="1"/>
  <cols>
    <col width="16" customWidth="1" style="59" min="1" max="2"/>
    <col width="18" customWidth="1" style="59" min="3" max="3"/>
    <col width="8" customWidth="1" style="59" min="4" max="4"/>
    <col width="26" customWidth="1" style="59" min="5" max="5"/>
    <col width="10" customWidth="1" style="59" min="6" max="6"/>
    <col width="8.7109375" customWidth="1" style="59" min="7" max="26"/>
  </cols>
  <sheetData>
    <row r="1">
      <c r="A1" s="5" t="inlineStr">
        <is>
          <t>Dropdown lists and thresholds. Do not rename or move.</t>
        </is>
      </c>
    </row>
    <row r="2" ht="30" customHeight="1" s="59">
      <c r="A2" s="8" t="inlineStr">
        <is>
          <t>SOLID_SPECIES</t>
        </is>
      </c>
      <c r="B2" s="8" t="inlineStr">
        <is>
          <t>PANEL_TYPE</t>
        </is>
      </c>
      <c r="C2" s="8" t="inlineStr">
        <is>
          <t>FINISH_RECIPE</t>
        </is>
      </c>
      <c r="D2" s="8" t="inlineStr">
        <is>
          <t>YN</t>
        </is>
      </c>
      <c r="E2" s="8" t="inlineStr">
        <is>
          <t>NORM</t>
        </is>
      </c>
      <c r="F2" s="8" t="inlineStr">
        <is>
          <t>VALUE</t>
        </is>
      </c>
    </row>
    <row r="3">
      <c r="A3" s="2" t="inlineStr">
        <is>
          <t>TEAK</t>
        </is>
      </c>
      <c r="B3" s="2" t="inlineStr">
        <is>
          <t>PLY-3-RAW</t>
        </is>
      </c>
      <c r="C3" s="2" t="inlineStr">
        <is>
          <t>NC NATURAL</t>
        </is>
      </c>
      <c r="D3" s="2" t="inlineStr">
        <is>
          <t>Y</t>
        </is>
      </c>
      <c r="E3" s="2" t="inlineStr">
        <is>
          <t>TIER_A_MIN_LEN mm</t>
        </is>
      </c>
      <c r="F3" s="46" t="n">
        <v>1000</v>
      </c>
    </row>
    <row r="4">
      <c r="A4" s="2" t="inlineStr">
        <is>
          <t>MINDI</t>
        </is>
      </c>
      <c r="B4" s="2" t="inlineStr">
        <is>
          <t>PLY-3-MSF</t>
        </is>
      </c>
      <c r="C4" s="2" t="inlineStr">
        <is>
          <t>PU DUCO</t>
        </is>
      </c>
      <c r="D4" s="2" t="inlineStr">
        <is>
          <t>N</t>
        </is>
      </c>
      <c r="E4" s="2" t="inlineStr">
        <is>
          <t>TIER_D_MAX_VOL m3</t>
        </is>
      </c>
      <c r="F4" s="46" t="n">
        <v>0.0005</v>
      </c>
    </row>
    <row r="5">
      <c r="A5" s="2" t="inlineStr">
        <is>
          <t>MERANTI</t>
        </is>
      </c>
      <c r="B5" s="2" t="inlineStr">
        <is>
          <t>PLY-3-MDF</t>
        </is>
      </c>
      <c r="C5" s="2" t="inlineStr">
        <is>
          <t>NC + GLAZE</t>
        </is>
      </c>
      <c r="E5" s="2" t="inlineStr">
        <is>
          <t>TIER_D_MAX_LEN mm</t>
        </is>
      </c>
      <c r="F5" s="46" t="n">
        <v>300</v>
      </c>
    </row>
    <row r="6">
      <c r="A6" s="2" t="inlineStr">
        <is>
          <t>OTHER</t>
        </is>
      </c>
      <c r="B6" s="2" t="inlineStr">
        <is>
          <t>PLY-3-TSF</t>
        </is>
      </c>
      <c r="C6" s="2" t="inlineStr">
        <is>
          <t>NONE (RAW)</t>
        </is>
      </c>
      <c r="E6" s="2" t="inlineStr">
        <is>
          <t>SHEET_L mm</t>
        </is>
      </c>
      <c r="F6" s="46" t="n">
        <v>2440</v>
      </c>
    </row>
    <row r="7">
      <c r="B7" s="2" t="inlineStr">
        <is>
          <t>PLY-3-TDF</t>
        </is>
      </c>
      <c r="C7" s="2" t="inlineStr">
        <is>
          <t>OTHER</t>
        </is>
      </c>
      <c r="E7" s="2" t="inlineStr">
        <is>
          <t>SHEET_W mm</t>
        </is>
      </c>
      <c r="F7" s="46" t="n">
        <v>1220</v>
      </c>
    </row>
    <row r="8">
      <c r="B8" s="2" t="inlineStr">
        <is>
          <t>PLY-6-RAW</t>
        </is>
      </c>
      <c r="E8" s="2" t="inlineStr">
        <is>
          <t>SHEET_KERF mm</t>
        </is>
      </c>
      <c r="F8" s="46" t="n">
        <v>5</v>
      </c>
    </row>
    <row r="9">
      <c r="B9" s="2" t="inlineStr">
        <is>
          <t>PLY-6-MSF</t>
        </is>
      </c>
      <c r="E9" s="2" t="inlineStr">
        <is>
          <t>CARTON_ADD mm</t>
        </is>
      </c>
      <c r="F9" s="46" t="n">
        <v>40</v>
      </c>
    </row>
    <row r="10">
      <c r="B10" s="2" t="inlineStr">
        <is>
          <t>PLY-6-MDF</t>
        </is>
      </c>
      <c r="E10" s="2" t="inlineStr">
        <is>
          <t>NARROW_MAX_SECTION mm</t>
        </is>
      </c>
      <c r="F10" s="46" t="n">
        <v>40</v>
      </c>
    </row>
    <row r="11">
      <c r="B11" s="2" t="inlineStr">
        <is>
          <t>PLY-6-TSF</t>
        </is>
      </c>
      <c r="E11" s="2" t="inlineStr">
        <is>
          <t>NARROW_MAX_LEN mm</t>
        </is>
      </c>
      <c r="F11" s="46" t="n">
        <v>1500</v>
      </c>
    </row>
    <row r="12">
      <c r="B12" s="2" t="inlineStr">
        <is>
          <t>PLY-6-TDF</t>
        </is>
      </c>
    </row>
    <row r="13">
      <c r="B13" s="2" t="inlineStr">
        <is>
          <t>PLY-9-RAW</t>
        </is>
      </c>
    </row>
    <row r="14">
      <c r="B14" s="2" t="inlineStr">
        <is>
          <t>PLY-9-MSF</t>
        </is>
      </c>
    </row>
    <row r="15">
      <c r="B15" s="2" t="inlineStr">
        <is>
          <t>PLY-9-MDF</t>
        </is>
      </c>
    </row>
    <row r="16">
      <c r="B16" s="2" t="inlineStr">
        <is>
          <t>PLY-9-TSF</t>
        </is>
      </c>
    </row>
    <row r="17">
      <c r="B17" s="2" t="inlineStr">
        <is>
          <t>PLY-9-TDF</t>
        </is>
      </c>
    </row>
    <row r="18">
      <c r="B18" s="2" t="inlineStr">
        <is>
          <t>PLY-12-RAW</t>
        </is>
      </c>
    </row>
    <row r="19">
      <c r="B19" s="2" t="inlineStr">
        <is>
          <t>PLY-12-MSF</t>
        </is>
      </c>
    </row>
    <row r="20">
      <c r="B20" s="2" t="inlineStr">
        <is>
          <t>PLY-12-MDF</t>
        </is>
      </c>
    </row>
    <row r="21" ht="15.75" customHeight="1" s="59">
      <c r="B21" s="2" t="inlineStr">
        <is>
          <t>PLY-12-TSF</t>
        </is>
      </c>
    </row>
    <row r="22" ht="15.75" customHeight="1" s="59">
      <c r="B22" s="2" t="inlineStr">
        <is>
          <t>PLY-12-TDF</t>
        </is>
      </c>
    </row>
    <row r="23" ht="15.75" customHeight="1" s="59">
      <c r="B23" s="2" t="inlineStr">
        <is>
          <t>PLY-15-RAW</t>
        </is>
      </c>
    </row>
    <row r="24" ht="15.75" customHeight="1" s="59">
      <c r="B24" s="2" t="inlineStr">
        <is>
          <t>PLY-15-MSF</t>
        </is>
      </c>
    </row>
    <row r="25" ht="15.75" customHeight="1" s="59">
      <c r="B25" s="2" t="inlineStr">
        <is>
          <t>PLY-15-MDF</t>
        </is>
      </c>
    </row>
    <row r="26" ht="15.75" customHeight="1" s="59">
      <c r="B26" s="2" t="inlineStr">
        <is>
          <t>PLY-15-TSF</t>
        </is>
      </c>
    </row>
    <row r="27" ht="15.75" customHeight="1" s="59">
      <c r="B27" s="2" t="inlineStr">
        <is>
          <t>PLY-15-TDF</t>
        </is>
      </c>
    </row>
    <row r="28" ht="15.75" customHeight="1" s="59">
      <c r="B28" s="2" t="inlineStr">
        <is>
          <t>PLY-18-RAW</t>
        </is>
      </c>
    </row>
    <row r="29" ht="15.75" customHeight="1" s="59">
      <c r="B29" s="2" t="inlineStr">
        <is>
          <t>PLY-18-MSF</t>
        </is>
      </c>
    </row>
    <row r="30" ht="15.75" customHeight="1" s="59">
      <c r="B30" s="2" t="inlineStr">
        <is>
          <t>PLY-18-MDF</t>
        </is>
      </c>
    </row>
    <row r="31" ht="15.75" customHeight="1" s="59">
      <c r="B31" s="2" t="inlineStr">
        <is>
          <t>PLY-18-TSF</t>
        </is>
      </c>
    </row>
    <row r="32" ht="15.75" customHeight="1" s="59">
      <c r="B32" s="2" t="inlineStr">
        <is>
          <t>PLY-18-TDF</t>
        </is>
      </c>
    </row>
    <row r="33" ht="15.75" customHeight="1" s="59">
      <c r="B33" s="2" t="inlineStr">
        <is>
          <t>PLY-24-RAW</t>
        </is>
      </c>
    </row>
    <row r="34" ht="15.75" customHeight="1" s="59">
      <c r="B34" s="2" t="inlineStr">
        <is>
          <t>PLY-24-MSF</t>
        </is>
      </c>
    </row>
    <row r="35" ht="15.75" customHeight="1" s="59">
      <c r="B35" s="2" t="inlineStr">
        <is>
          <t>PLY-24-MDF</t>
        </is>
      </c>
    </row>
    <row r="36" ht="15.75" customHeight="1" s="59">
      <c r="B36" s="2" t="inlineStr">
        <is>
          <t>PLY-24-TSF</t>
        </is>
      </c>
    </row>
    <row r="37" ht="15.75" customHeight="1" s="59">
      <c r="B37" s="2" t="inlineStr">
        <is>
          <t>PLY-24-TDF</t>
        </is>
      </c>
    </row>
    <row r="38" ht="15.75" customHeight="1" s="59"/>
    <row r="39" ht="15.75" customHeight="1" s="59"/>
    <row r="40" ht="15.75" customHeight="1" s="59"/>
    <row r="41" ht="15.75" customHeight="1" s="59"/>
    <row r="42" ht="15.75" customHeight="1" s="59"/>
    <row r="43" ht="15.75" customHeight="1" s="59"/>
    <row r="44" ht="15.75" customHeight="1" s="59"/>
    <row r="45" ht="15.75" customHeight="1" s="59"/>
    <row r="46" ht="15.75" customHeight="1" s="59"/>
    <row r="47" ht="15.75" customHeight="1" s="59"/>
    <row r="48" ht="15.75" customHeight="1" s="59"/>
    <row r="49" ht="15.75" customHeight="1" s="59"/>
    <row r="50" ht="15.75" customHeight="1" s="59"/>
    <row r="51" ht="15.75" customHeight="1" s="59"/>
    <row r="52" ht="15.75" customHeight="1" s="59"/>
    <row r="53" ht="15.75" customHeight="1" s="59"/>
    <row r="54" ht="15.75" customHeight="1" s="59"/>
    <row r="55" ht="15.75" customHeight="1" s="59"/>
    <row r="56" ht="15.75" customHeight="1" s="59"/>
    <row r="57" ht="15.75" customHeight="1" s="59"/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02"/>
  <sheetViews>
    <sheetView workbookViewId="0">
      <selection activeCell="A1" sqref="A1"/>
    </sheetView>
  </sheetViews>
  <sheetFormatPr baseColWidth="8" defaultColWidth="14.42578125" defaultRowHeight="15" customHeight="1"/>
  <cols>
    <col width="5" customWidth="1" style="59" min="1" max="1"/>
    <col width="13" customWidth="1" style="59" min="2" max="2"/>
    <col width="18" customWidth="1" style="59" min="3" max="3"/>
    <col width="38" customWidth="1" style="59" min="4" max="4"/>
    <col width="9" customWidth="1" style="59" min="5" max="6"/>
    <col width="7" customWidth="1" style="59" min="7" max="7"/>
    <col width="9" customWidth="1" style="59" min="8" max="9"/>
    <col width="10" customWidth="1" style="59" min="10" max="10"/>
    <col width="26" customWidth="1" style="59" min="11" max="11"/>
    <col width="11" customWidth="1" style="59" min="12" max="14"/>
    <col width="10" customWidth="1" style="59" min="15" max="15"/>
    <col width="9" customWidth="1" style="59" min="16" max="16"/>
    <col width="14" customWidth="1" style="59" min="17" max="19"/>
    <col width="8.7109375" customWidth="1" style="59" min="20" max="26"/>
  </cols>
  <sheetData>
    <row r="1" ht="18" customHeight="1" s="59">
      <c r="A1" s="66" t="inlineStr">
        <is>
          <t>ITEM CODE</t>
        </is>
      </c>
      <c r="C1" s="7" t="inlineStr">
        <is>
          <t>LV453-B61</t>
        </is>
      </c>
      <c r="D1" s="66" t="inlineStr">
        <is>
          <t>OVERALL L mm</t>
        </is>
      </c>
      <c r="G1" s="9">
        <f t="array" ref="G1">IFERROR(IF(INDEX(ITEMS!$E$5:$E$120,MATCH($C$1,ITEMS!$C$5:$C$120,0))="","",INDEX(ITEMS!$E$5:$E$120,MATCH($C$1,ITEMS!$C$5:$C$120,0))),"")</f>
        <v/>
      </c>
      <c r="H1" s="67" t="n"/>
      <c r="I1" s="67" t="n"/>
      <c r="J1" s="67" t="n"/>
      <c r="K1" s="68" t="n"/>
      <c r="L1" s="69">
        <f>IF(G6="","photo",_xludf.IMAGE(G6))</f>
        <v/>
      </c>
    </row>
    <row r="2" ht="18" customHeight="1" s="59">
      <c r="A2" s="66" t="inlineStr">
        <is>
          <t>ITEM NAME</t>
        </is>
      </c>
      <c r="C2" s="9">
        <f t="array" ref="C2">IFERROR(IF(INDEX(ITEMS!$D$5:$D$120,MATCH($C$1,ITEMS!$C$5:$C$120,0))="","",INDEX(ITEMS!$D$5:$D$120,MATCH($C$1,ITEMS!$C$5:$C$120,0))),"")</f>
        <v/>
      </c>
      <c r="D2" s="66" t="inlineStr">
        <is>
          <t>OVERALL W mm</t>
        </is>
      </c>
      <c r="G2" s="9">
        <f t="array" ref="G2">IFERROR(IF(INDEX(ITEMS!$F$5:$F$120,MATCH($C$1,ITEMS!$C$5:$C$120,0))="","",INDEX(ITEMS!$F$5:$F$120,MATCH($C$1,ITEMS!$C$5:$C$120,0))),"")</f>
        <v/>
      </c>
      <c r="H2" s="67" t="n"/>
      <c r="I2" s="67" t="n"/>
      <c r="J2" s="67" t="n"/>
      <c r="K2" s="68" t="n"/>
    </row>
    <row r="3" ht="18" customHeight="1" s="59">
      <c r="A3" s="66" t="inlineStr">
        <is>
          <t>COLLECTION / ROOM</t>
        </is>
      </c>
      <c r="C3" s="9">
        <f t="array" ref="C3">IFERROR(INDEX(ITEMS!$B$5:$B$120,MATCH($C$1,ITEMS!$C$5:$C$120,0))&amp;" / "&amp;INDEX(ITEMS!$W$5:$W$120,MATCH($C$1,ITEMS!$C$5:$C$120,0)),"")</f>
        <v/>
      </c>
      <c r="D3" s="66" t="inlineStr">
        <is>
          <t>OVERALL H mm</t>
        </is>
      </c>
      <c r="G3" s="9">
        <f t="array" ref="G3">IFERROR(IF(INDEX(ITEMS!$G$5:$G$120,MATCH($C$1,ITEMS!$C$5:$C$120,0))="","",INDEX(ITEMS!$G$5:$G$120,MATCH($C$1,ITEMS!$C$5:$C$120,0))),"")</f>
        <v/>
      </c>
      <c r="H3" s="67" t="n"/>
      <c r="I3" s="67" t="n"/>
      <c r="J3" s="67" t="n"/>
      <c r="K3" s="68" t="n"/>
    </row>
    <row r="4" ht="18" customHeight="1" s="59">
      <c r="A4" s="66" t="inlineStr">
        <is>
          <t>ORDER QTY</t>
        </is>
      </c>
      <c r="C4" s="9">
        <f t="array" ref="C4">IFERROR(IF(INDEX(ITEMS!$H$5:$H$120,MATCH($C$1,ITEMS!$C$5:$C$120,0))="","",INDEX(ITEMS!$H$5:$H$120,MATCH($C$1,ITEMS!$C$5:$C$120,0))),"")</f>
        <v/>
      </c>
      <c r="D4" s="66" t="inlineStr">
        <is>
          <t>LV453 - B61 - DRESSER 6 DRAWERS.pdf</t>
        </is>
      </c>
      <c r="G4" s="9">
        <f t="array" ref="G4">IFERROR(IF(INDEX(ITEMS!$I$5:$I$120,MATCH($C$1,ITEMS!$C$5:$C$120,0))="","",INDEX(ITEMS!$I$5:$I$120,MATCH($C$1,ITEMS!$C$5:$C$120,0))),"")</f>
        <v/>
      </c>
      <c r="H4" s="67" t="n"/>
      <c r="I4" s="67" t="n"/>
      <c r="J4" s="67" t="n"/>
      <c r="K4" s="68" t="n"/>
    </row>
    <row r="5" ht="18" customHeight="1" s="59">
      <c r="A5" s="66" t="inlineStr">
        <is>
          <t>FINISH RECIPE</t>
        </is>
      </c>
      <c r="C5" s="10" t="inlineStr">
        <is>
          <t>NC NATURAL</t>
        </is>
      </c>
      <c r="D5" s="66" t="inlineStr">
        <is>
          <t>SPEC LINK</t>
        </is>
      </c>
      <c r="G5" s="9">
        <f t="array" ref="G5">IFERROR(IF(INDEX(ITEMS!$V$5:$V$120,MATCH($C$1,ITEMS!$C$5:$C$120,0))="","",INDEX(ITEMS!$V$5:$V$120,MATCH($C$1,ITEMS!$C$5:$C$120,0))),"")</f>
        <v/>
      </c>
      <c r="H5" s="67" t="n"/>
      <c r="I5" s="67" t="n"/>
      <c r="J5" s="67" t="n"/>
      <c r="K5" s="68" t="n"/>
    </row>
    <row r="6" ht="18" customHeight="1" s="59">
      <c r="A6" s="66" t="inlineStr">
        <is>
          <t>FLATPACK? (Y/N)</t>
        </is>
      </c>
      <c r="C6" s="10" t="inlineStr">
        <is>
          <t>N</t>
        </is>
      </c>
      <c r="D6" s="66" t="inlineStr">
        <is>
          <t>PHOTO LINK</t>
        </is>
      </c>
      <c r="G6" s="10" t="n"/>
      <c r="H6" s="67" t="n"/>
      <c r="I6" s="67" t="n"/>
      <c r="J6" s="67" t="n"/>
      <c r="K6" s="68" t="n"/>
    </row>
    <row r="7" ht="18" customHeight="1" s="59">
      <c r="A7" s="66" t="inlineStr">
        <is>
          <t>NOTES</t>
        </is>
      </c>
      <c r="C7" s="9">
        <f t="array" ref="C7">IFERROR(IF(INDEX(ITEMS!$X$5:$X$120,MATCH($C$1,ITEMS!$C$5:$C$120,0))="","",INDEX(ITEMS!$X$5:$X$120,MATCH($C$1,ITEMS!$C$5:$C$120,0))),"")</f>
        <v/>
      </c>
      <c r="D7" s="66" t="inlineStr">
        <is>
          <t>REVISION / DATE</t>
        </is>
      </c>
      <c r="G7" s="10" t="n"/>
      <c r="H7" s="67" t="n"/>
      <c r="I7" s="67" t="n"/>
      <c r="J7" s="67" t="n"/>
      <c r="K7" s="68" t="n"/>
    </row>
    <row r="8" ht="6" customHeight="1" s="59"/>
    <row r="9">
      <c r="A9" s="5" t="inlineStr">
        <is>
          <t>PACKING: assembled = leave boxes blank (system uses overall size + 40 mm as 1 carton). Flatpack = one row per box.</t>
        </is>
      </c>
    </row>
    <row r="10" ht="30" customHeight="1" s="59">
      <c r="A10" s="8" t="inlineStr">
        <is>
          <t>BOX</t>
        </is>
      </c>
      <c r="B10" s="8" t="inlineStr">
        <is>
          <t>CONTENTS</t>
        </is>
      </c>
      <c r="C10" s="68" t="n"/>
      <c r="D10" s="8" t="inlineStr">
        <is>
          <t>L mm</t>
        </is>
      </c>
      <c r="E10" s="8" t="inlineStr">
        <is>
          <t>W mm</t>
        </is>
      </c>
      <c r="F10" s="8" t="inlineStr">
        <is>
          <t>H mm</t>
        </is>
      </c>
      <c r="G10" s="8" t="inlineStr">
        <is>
          <t>QTY</t>
        </is>
      </c>
      <c r="H10" s="8" t="inlineStr">
        <is>
          <t>CARTON L</t>
        </is>
      </c>
      <c r="I10" s="8" t="inlineStr">
        <is>
          <t>CARTON W</t>
        </is>
      </c>
      <c r="J10" s="8" t="inlineStr">
        <is>
          <t>CARTON H</t>
        </is>
      </c>
      <c r="K10" s="8" t="n"/>
      <c r="L10" s="8" t="inlineStr">
        <is>
          <t>m² 6 sides (calc)</t>
        </is>
      </c>
      <c r="M10" s="8" t="inlineStr">
        <is>
          <t>m³ (calc)</t>
        </is>
      </c>
    </row>
    <row r="11">
      <c r="A11" s="13" t="n">
        <v>1</v>
      </c>
      <c r="B11" s="10" t="n"/>
      <c r="C11" s="68" t="n"/>
      <c r="D11" s="10" t="n"/>
      <c r="E11" s="10" t="n"/>
      <c r="F11" s="10" t="n"/>
      <c r="G11" s="10" t="n"/>
      <c r="H11" s="14">
        <f>IF(D11="","",D11+LISTS!$F$9)</f>
        <v/>
      </c>
      <c r="I11" s="14">
        <f>IF(E11="","",E11+LISTS!$F$9)</f>
        <v/>
      </c>
      <c r="J11" s="14">
        <f>IF(F11="","",F11+LISTS!$F$9)</f>
        <v/>
      </c>
      <c r="K11" s="15" t="n"/>
      <c r="L11" s="17">
        <f>IF(H11="","",2*(H11*I11+H11*J11+I11*J11)/1000000*IF(G11="",1,G11))</f>
        <v/>
      </c>
      <c r="M11" s="19">
        <f>IF(H11="","",H11*I11*J11/1000000000*IF(G11="",1,G11))</f>
        <v/>
      </c>
    </row>
    <row r="12">
      <c r="A12" s="13" t="n">
        <v>2</v>
      </c>
      <c r="B12" s="10" t="n"/>
      <c r="C12" s="68" t="n"/>
      <c r="D12" s="10" t="n"/>
      <c r="E12" s="10" t="n"/>
      <c r="F12" s="10" t="n"/>
      <c r="G12" s="10" t="n"/>
      <c r="H12" s="14">
        <f>IF(D12="","",D12+LISTS!$F$9)</f>
        <v/>
      </c>
      <c r="I12" s="14">
        <f>IF(E12="","",E12+LISTS!$F$9)</f>
        <v/>
      </c>
      <c r="J12" s="14">
        <f>IF(F12="","",F12+LISTS!$F$9)</f>
        <v/>
      </c>
      <c r="K12" s="15" t="n"/>
      <c r="L12" s="17">
        <f>IF(H12="","",2*(H12*I12+H12*J12+I12*J12)/1000000*IF(G12="",1,G12))</f>
        <v/>
      </c>
      <c r="M12" s="19">
        <f>IF(H12="","",H12*I12*J12/1000000000*IF(G12="",1,G12))</f>
        <v/>
      </c>
    </row>
    <row r="13">
      <c r="A13" s="13" t="n">
        <v>3</v>
      </c>
      <c r="B13" s="10" t="n"/>
      <c r="C13" s="68" t="n"/>
      <c r="D13" s="10" t="n"/>
      <c r="E13" s="10" t="n"/>
      <c r="F13" s="10" t="n"/>
      <c r="G13" s="10" t="n"/>
      <c r="H13" s="14">
        <f>IF(D13="","",D13+LISTS!$F$9)</f>
        <v/>
      </c>
      <c r="I13" s="14">
        <f>IF(E13="","",E13+LISTS!$F$9)</f>
        <v/>
      </c>
      <c r="J13" s="14">
        <f>IF(F13="","",F13+LISTS!$F$9)</f>
        <v/>
      </c>
      <c r="K13" s="15" t="n"/>
      <c r="L13" s="17">
        <f>IF(H13="","",2*(H13*I13+H13*J13+I13*J13)/1000000*IF(G13="",1,G13))</f>
        <v/>
      </c>
      <c r="M13" s="19">
        <f>IF(H13="","",H13*I13*J13/1000000000*IF(G13="",1,G13))</f>
        <v/>
      </c>
    </row>
    <row r="14">
      <c r="A14" s="13" t="n">
        <v>4</v>
      </c>
      <c r="B14" s="10" t="n"/>
      <c r="C14" s="68" t="n"/>
      <c r="D14" s="10" t="n"/>
      <c r="E14" s="10" t="n"/>
      <c r="F14" s="10" t="n"/>
      <c r="G14" s="10" t="n"/>
      <c r="H14" s="14">
        <f>IF(D14="","",D14+LISTS!$F$9)</f>
        <v/>
      </c>
      <c r="I14" s="14">
        <f>IF(E14="","",E14+LISTS!$F$9)</f>
        <v/>
      </c>
      <c r="J14" s="14">
        <f>IF(F14="","",F14+LISTS!$F$9)</f>
        <v/>
      </c>
      <c r="K14" s="15" t="n"/>
      <c r="L14" s="17">
        <f>IF(H14="","",2*(H14*I14+H14*J14+I14*J14)/1000000*IF(G14="",1,G14))</f>
        <v/>
      </c>
      <c r="M14" s="19">
        <f>IF(H14="","",H14*I14*J14/1000000000*IF(G14="",1,G14))</f>
        <v/>
      </c>
    </row>
    <row r="15">
      <c r="A15" s="13" t="inlineStr">
        <is>
          <t>TOTAL</t>
        </is>
      </c>
      <c r="B15" s="15" t="n"/>
      <c r="C15" s="15" t="n"/>
      <c r="D15" s="15" t="n"/>
      <c r="E15" s="15" t="n"/>
      <c r="F15" s="15" t="n"/>
      <c r="G15" s="22">
        <f>IF(D11="",1,SUM(G11:G14)+COUNTIFS(D11:D14,"&lt;&gt;",G11:G14,""))</f>
        <v/>
      </c>
      <c r="H15" s="9" t="inlineStr">
        <is>
          <t>cartons</t>
        </is>
      </c>
      <c r="I15" s="15" t="n"/>
      <c r="J15" s="15" t="n"/>
      <c r="K15" s="15" t="n"/>
      <c r="L15" s="23">
        <f>IF(D11="",IF(OR(G1="",G2="",G3=""),0,2*((G1+LISTS!$F$9)*(G2+LISTS!$F$9)+(G1+LISTS!$F$9)*(G3+LISTS!$F$9)+(G2+LISTS!$F$9)*(G3+LISTS!$F$9))/1000000),SUM(L11:L14))</f>
        <v/>
      </c>
      <c r="M15" s="24">
        <f>IF(D11="",IF(OR(G1="",G2="",G3=""),0,(G1+LISTS!$F$9)*(G2+LISTS!$F$9)*(G3+LISTS!$F$9)/1000000000),SUM(M11:M14))</f>
        <v/>
      </c>
    </row>
    <row r="16">
      <c r="A16" s="5" t="inlineStr">
        <is>
          <t>SOLID WOOD: one line per component, mm, qty per ONE item</t>
        </is>
      </c>
    </row>
    <row r="17" ht="31.5" customHeight="1" s="59">
      <c r="A17" s="8" t="inlineStr">
        <is>
          <t>NO</t>
        </is>
      </c>
      <c r="B17" s="8" t="inlineStr">
        <is>
          <t>MATERIAL</t>
        </is>
      </c>
      <c r="C17" s="47" t="inlineStr">
        <is>
          <t>LABEL</t>
        </is>
      </c>
      <c r="D17" s="8" t="inlineStr">
        <is>
          <t>COMPONENT</t>
        </is>
      </c>
      <c r="E17" s="8" t="inlineStr">
        <is>
          <t>L mm</t>
        </is>
      </c>
      <c r="F17" s="8" t="inlineStr">
        <is>
          <t>W mm</t>
        </is>
      </c>
      <c r="G17" s="8" t="inlineStr">
        <is>
          <t>T mm</t>
        </is>
      </c>
      <c r="H17" s="8" t="inlineStr">
        <is>
          <t>QTY</t>
        </is>
      </c>
      <c r="I17" s="8" t="inlineStr">
        <is>
          <t>EXPOSED Y/N</t>
        </is>
      </c>
      <c r="J17" s="8" t="inlineStr">
        <is>
          <t>CURVED Y/N</t>
        </is>
      </c>
      <c r="K17" s="8" t="inlineStr">
        <is>
          <t>TIER OVERRIDE</t>
        </is>
      </c>
      <c r="L17" s="8" t="inlineStr">
        <is>
          <t>NOTE</t>
        </is>
      </c>
      <c r="M17" s="8" t="inlineStr">
        <is>
          <t>VOL m³ (calc)</t>
        </is>
      </c>
      <c r="N17" s="8" t="inlineStr">
        <is>
          <t>FACE m² (calc)</t>
        </is>
      </c>
      <c r="O17" s="8" t="inlineStr">
        <is>
          <t>AUTO TIER (calc)</t>
        </is>
      </c>
      <c r="P17" s="8" t="n"/>
      <c r="Q17" s="8" t="n"/>
      <c r="R17" s="8" t="inlineStr">
        <is>
          <t>CHECK (calc)</t>
        </is>
      </c>
      <c r="S17" s="8" t="inlineStr">
        <is>
          <t>RATE (system)</t>
        </is>
      </c>
      <c r="T17" s="8" t="inlineStr">
        <is>
          <t>COST IDR (system)</t>
        </is>
      </c>
    </row>
    <row r="18">
      <c r="A18" s="9" t="n">
        <v>1</v>
      </c>
      <c r="B18" s="10" t="inlineStr">
        <is>
          <t>MINDI</t>
        </is>
      </c>
      <c r="C18" s="48" t="inlineStr">
        <is>
          <t>3 / A</t>
        </is>
      </c>
      <c r="D18" s="10" t="inlineStr">
        <is>
          <t>Tiang Kaki Luar (Corner Posts)</t>
        </is>
      </c>
      <c r="E18" s="10" t="n">
        <v>820</v>
      </c>
      <c r="F18" s="10" t="n">
        <v>45</v>
      </c>
      <c r="G18" s="10" t="n">
        <v>45</v>
      </c>
      <c r="H18" s="10" t="n">
        <v>4</v>
      </c>
      <c r="I18" s="10" t="inlineStr">
        <is>
          <t>Y</t>
        </is>
      </c>
      <c r="J18" s="10" t="inlineStr">
        <is>
          <t>N</t>
        </is>
      </c>
      <c r="K18" s="10" t="n"/>
      <c r="L18" s="10" t="inlineStr">
        <is>
          <t>Part 3 / Code A (Solid wood 45x45) | P-01</t>
        </is>
      </c>
      <c r="M18" s="25">
        <f>IF(OR(E18="",F18="",G18=""),"",E18*F18*G18/1000000000*IF(H18="",1,H18))</f>
        <v/>
      </c>
      <c r="N18" s="19">
        <f>IF(OR(E18="",F18=""),"",E18*F18/1000000*IF(H18="",1,H18))</f>
        <v/>
      </c>
      <c r="O18" s="14">
        <f>IF(E18="","",IF(K18&lt;&gt;"",K18,IF(AND(E18*F18*G18/1000000000&lt;LISTS!$F$4,MAX(E18,F18,G18)&lt;LISTS!$F$5),"D",IF(I18="N","C",IF(J18="Y","A-CURVED",IF(AND(MEDIAN(E18,F18,G18)&lt;=LISTS!$F$10,MAX(E18,F18,G18)&lt;=LISTS!$F$11),"B",IF(MAX(E18,F18,G18)&gt;=LISTS!$F$3,"A","B")))))))</f>
        <v/>
      </c>
      <c r="P18" s="14" t="n"/>
      <c r="Q18" s="14" t="n"/>
      <c r="R18" s="14">
        <f>IF(E18="","",IF(B18="","material?",IF(OR(F18="",G18=""),"size?",IF(I18="","exposed Y/N?",IF(H18="","qty?",IF(B18="OTHER","OTHER: no rate, price it under hardware","OK"))))))</f>
        <v/>
      </c>
      <c r="S18" s="12">
        <f t="array" ref="S18">IF(OR(O18="",M18=""),"",IF(B18="MERANTI",RATES!$C$45,IFERROR(INDEX(RATES!$C:$C,MATCH(B18&amp;"_"&amp;SUBSTITUTE(O18,"-CURVED","C"),RATES!$A:$A,0)),"rate?")))</f>
        <v/>
      </c>
      <c r="T18" s="12">
        <f>IF(ISNUMBER(S18),M18*S18,"")</f>
        <v/>
      </c>
    </row>
    <row r="19">
      <c r="A19" s="9" t="n">
        <v>2</v>
      </c>
      <c r="B19" s="10" t="inlineStr">
        <is>
          <t>MINDI</t>
        </is>
      </c>
      <c r="C19" s="48" t="inlineStr">
        <is>
          <t>3 / A</t>
        </is>
      </c>
      <c r="D19" s="10" t="inlineStr">
        <is>
          <t>Tiang Kaki Tengah (Center Posts)</t>
        </is>
      </c>
      <c r="E19" s="10" t="n">
        <v>820</v>
      </c>
      <c r="F19" s="10" t="n">
        <v>45</v>
      </c>
      <c r="G19" s="10" t="n">
        <v>45</v>
      </c>
      <c r="H19" s="10" t="n">
        <v>2</v>
      </c>
      <c r="I19" s="10" t="inlineStr">
        <is>
          <t>Y</t>
        </is>
      </c>
      <c r="J19" s="10" t="inlineStr">
        <is>
          <t>N</t>
        </is>
      </c>
      <c r="K19" s="10" t="n"/>
      <c r="L19" s="10" t="inlineStr">
        <is>
          <t>Part 3 / Code A (Solid wood 45x45) | P-02</t>
        </is>
      </c>
      <c r="M19" s="25">
        <f>IF(OR(E19="",F19="",G19=""),"",E19*F19*G19/1000000000*IF(H19="",1,H19))</f>
        <v/>
      </c>
      <c r="N19" s="19">
        <f>IF(OR(E19="",F19=""),"",E19*F19/1000000*IF(H19="",1,H19))</f>
        <v/>
      </c>
      <c r="O19" s="14">
        <f>IF(E19="","",IF(K19&lt;&gt;"",K19,IF(AND(E19*F19*G19/1000000000&lt;LISTS!$F$4,MAX(E19,F19,G19)&lt;LISTS!$F$5),"D",IF(I19="N","C",IF(J19="Y","A-CURVED",IF(AND(MEDIAN(E19,F19,G19)&lt;=LISTS!$F$10,MAX(E19,F19,G19)&lt;=LISTS!$F$11),"B",IF(MAX(E19,F19,G19)&gt;=LISTS!$F$3,"A","B")))))))</f>
        <v/>
      </c>
      <c r="P19" s="14" t="n"/>
      <c r="Q19" s="14" t="n"/>
      <c r="R19" s="14">
        <f>IF(E19="","",IF(B19="","material?",IF(OR(F19="",G19=""),"size?",IF(I19="","exposed Y/N?",IF(H19="","qty?",IF(B19="OTHER","OTHER: no rate, price it under hardware","OK"))))))</f>
        <v/>
      </c>
      <c r="S19" s="12">
        <f t="array" ref="S19">IF(OR(O19="",M19=""),"",IF(B19="MERANTI",RATES!$C$45,IFERROR(INDEX(RATES!$C:$C,MATCH(B19&amp;"_"&amp;SUBSTITUTE(O19,"-CURVED","C"),RATES!$A:$A,0)),"rate?")))</f>
        <v/>
      </c>
      <c r="T19" s="12">
        <f>IF(ISNUMBER(S19),M19*S19,"")</f>
        <v/>
      </c>
    </row>
    <row r="20">
      <c r="A20" s="9" t="n">
        <v>3</v>
      </c>
      <c r="B20" s="10" t="inlineStr">
        <is>
          <t>MINDI</t>
        </is>
      </c>
      <c r="C20" s="48" t="inlineStr">
        <is>
          <t>14 / A</t>
        </is>
      </c>
      <c r="D20" s="10" t="inlineStr">
        <is>
          <t>Rel Depan Atas (Top Front Rail)</t>
        </is>
      </c>
      <c r="E20" s="10" t="n">
        <v>1410</v>
      </c>
      <c r="F20" s="10" t="n">
        <v>45</v>
      </c>
      <c r="G20" s="10" t="n">
        <v>30</v>
      </c>
      <c r="H20" s="10" t="n">
        <v>1</v>
      </c>
      <c r="I20" s="10" t="inlineStr">
        <is>
          <t>Y</t>
        </is>
      </c>
      <c r="J20" s="10" t="inlineStr">
        <is>
          <t>N</t>
        </is>
      </c>
      <c r="K20" s="10" t="n"/>
      <c r="L20" s="10" t="inlineStr">
        <is>
          <t>Part 14 / Code A (Solid wood 45x30) | P-03</t>
        </is>
      </c>
      <c r="M20" s="25">
        <f>IF(OR(E20="",F20="",G20=""),"",E20*F20*G20/1000000000*IF(H20="",1,H20))</f>
        <v/>
      </c>
      <c r="N20" s="19">
        <f>IF(OR(E20="",F20=""),"",E20*F20/1000000*IF(H20="",1,H20))</f>
        <v/>
      </c>
      <c r="O20" s="14">
        <f>IF(E20="","",IF(K20&lt;&gt;"",K20,IF(AND(E20*F20*G20/1000000000&lt;LISTS!$F$4,MAX(E20,F20,G20)&lt;LISTS!$F$5),"D",IF(I20="N","C",IF(J20="Y","A-CURVED",IF(AND(MEDIAN(E20,F20,G20)&lt;=LISTS!$F$10,MAX(E20,F20,G20)&lt;=LISTS!$F$11),"B",IF(MAX(E20,F20,G20)&gt;=LISTS!$F$3,"A","B")))))))</f>
        <v/>
      </c>
      <c r="P20" s="14" t="n"/>
      <c r="Q20" s="14" t="n"/>
      <c r="R20" s="14">
        <f>IF(E20="","",IF(B20="","material?",IF(OR(F20="",G20=""),"size?",IF(I20="","exposed Y/N?",IF(H20="","qty?",IF(B20="OTHER","OTHER: no rate, price it under hardware","OK"))))))</f>
        <v/>
      </c>
      <c r="S20" s="12">
        <f t="array" ref="S20">IF(OR(O20="",M20=""),"",IF(B20="MERANTI",RATES!$C$45,IFERROR(INDEX(RATES!$C:$C,MATCH(B20&amp;"_"&amp;SUBSTITUTE(O20,"-CURVED","C"),RATES!$A:$A,0)),"rate?")))</f>
        <v/>
      </c>
      <c r="T20" s="12">
        <f>IF(ISNUMBER(S20),M20*S20,"")</f>
        <v/>
      </c>
    </row>
    <row r="21" ht="15.75" customHeight="1" s="59">
      <c r="A21" s="9" t="n">
        <v>4</v>
      </c>
      <c r="B21" s="10" t="inlineStr">
        <is>
          <t>MINDI</t>
        </is>
      </c>
      <c r="C21" s="48" t="inlineStr">
        <is>
          <t>18 / A</t>
        </is>
      </c>
      <c r="D21" s="10" t="inlineStr">
        <is>
          <t>Rel Sekat Laci Horizontal</t>
        </is>
      </c>
      <c r="E21" s="10" t="n">
        <v>680</v>
      </c>
      <c r="F21" s="10" t="n">
        <v>30</v>
      </c>
      <c r="G21" s="10" t="n">
        <v>30</v>
      </c>
      <c r="H21" s="10" t="n">
        <v>4</v>
      </c>
      <c r="I21" s="10" t="inlineStr">
        <is>
          <t>Y</t>
        </is>
      </c>
      <c r="J21" s="10" t="inlineStr">
        <is>
          <t>N</t>
        </is>
      </c>
      <c r="K21" s="10" t="n"/>
      <c r="L21" s="10" t="inlineStr">
        <is>
          <t>Part 18 / Code A (Solid wood 30x30) | P-04</t>
        </is>
      </c>
      <c r="M21" s="25">
        <f>IF(OR(E21="",F21="",G21=""),"",E21*F21*G21/1000000000*IF(H21="",1,H21))</f>
        <v/>
      </c>
      <c r="N21" s="19">
        <f>IF(OR(E21="",F21=""),"",E21*F21/1000000*IF(H21="",1,H21))</f>
        <v/>
      </c>
      <c r="O21" s="14">
        <f>IF(E21="","",IF(K21&lt;&gt;"",K21,IF(AND(E21*F21*G21/1000000000&lt;LISTS!$F$4,MAX(E21,F21,G21)&lt;LISTS!$F$5),"D",IF(I21="N","C",IF(J21="Y","A-CURVED",IF(AND(MEDIAN(E21,F21,G21)&lt;=LISTS!$F$10,MAX(E21,F21,G21)&lt;=LISTS!$F$11),"B",IF(MAX(E21,F21,G21)&gt;=LISTS!$F$3,"A","B")))))))</f>
        <v/>
      </c>
      <c r="P21" s="14" t="n"/>
      <c r="Q21" s="14" t="n"/>
      <c r="R21" s="14">
        <f>IF(E21="","",IF(B21="","material?",IF(OR(F21="",G21=""),"size?",IF(I21="","exposed Y/N?",IF(H21="","qty?",IF(B21="OTHER","OTHER: no rate, price it under hardware","OK"))))))</f>
        <v/>
      </c>
      <c r="S21" s="12">
        <f t="array" ref="S21">IF(OR(O21="",M21=""),"",IF(B21="MERANTI",RATES!$C$45,IFERROR(INDEX(RATES!$C:$C,MATCH(B21&amp;"_"&amp;SUBSTITUTE(O21,"-CURVED","C"),RATES!$A:$A,0)),"rate?")))</f>
        <v/>
      </c>
      <c r="T21" s="12">
        <f>IF(ISNUMBER(S21),M21*S21,"")</f>
        <v/>
      </c>
    </row>
    <row r="22" ht="15.75" customHeight="1" s="59">
      <c r="A22" s="9" t="n">
        <v>5</v>
      </c>
      <c r="B22" s="10" t="inlineStr">
        <is>
          <t>MINDI</t>
        </is>
      </c>
      <c r="C22" s="48" t="inlineStr">
        <is>
          <t>17 / A</t>
        </is>
      </c>
      <c r="D22" s="10" t="inlineStr">
        <is>
          <t>Rel Tengah Vertikal Pembagi</t>
        </is>
      </c>
      <c r="E22" s="10" t="n">
        <v>585</v>
      </c>
      <c r="F22" s="10" t="n">
        <v>45</v>
      </c>
      <c r="G22" s="10" t="n">
        <v>30</v>
      </c>
      <c r="H22" s="10" t="n">
        <v>1</v>
      </c>
      <c r="I22" s="10" t="inlineStr">
        <is>
          <t>Y</t>
        </is>
      </c>
      <c r="J22" s="10" t="inlineStr">
        <is>
          <t>N</t>
        </is>
      </c>
      <c r="K22" s="10" t="n"/>
      <c r="L22" s="10" t="inlineStr">
        <is>
          <t>Part 17 / Code A (Solid wood 45x30) | P-05</t>
        </is>
      </c>
      <c r="M22" s="25">
        <f>IF(OR(E22="",F22="",G22=""),"",E22*F22*G22/1000000000*IF(H22="",1,H22))</f>
        <v/>
      </c>
      <c r="N22" s="19">
        <f>IF(OR(E22="",F22=""),"",E22*F22/1000000*IF(H22="",1,H22))</f>
        <v/>
      </c>
      <c r="O22" s="14">
        <f>IF(E22="","",IF(K22&lt;&gt;"",K22,IF(AND(E22*F22*G22/1000000000&lt;LISTS!$F$4,MAX(E22,F22,G22)&lt;LISTS!$F$5),"D",IF(I22="N","C",IF(J22="Y","A-CURVED",IF(AND(MEDIAN(E22,F22,G22)&lt;=LISTS!$F$10,MAX(E22,F22,G22)&lt;=LISTS!$F$11),"B",IF(MAX(E22,F22,G22)&gt;=LISTS!$F$3,"A","B")))))))</f>
        <v/>
      </c>
      <c r="P22" s="14" t="n"/>
      <c r="Q22" s="14" t="n"/>
      <c r="R22" s="14">
        <f>IF(E22="","",IF(B22="","material?",IF(OR(F22="",G22=""),"size?",IF(I22="","exposed Y/N?",IF(H22="","qty?",IF(B22="OTHER","OTHER: no rate, price it under hardware","OK"))))))</f>
        <v/>
      </c>
      <c r="S22" s="12">
        <f t="array" ref="S22">IF(OR(O22="",M22=""),"",IF(B22="MERANTI",RATES!$C$45,IFERROR(INDEX(RATES!$C:$C,MATCH(B22&amp;"_"&amp;SUBSTITUTE(O22,"-CURVED","C"),RATES!$A:$A,0)),"rate?")))</f>
        <v/>
      </c>
      <c r="T22" s="12">
        <f>IF(ISNUMBER(S22),M22*S22,"")</f>
        <v/>
      </c>
    </row>
    <row r="23" ht="15.75" customHeight="1" s="59">
      <c r="A23" s="9" t="n">
        <v>6</v>
      </c>
      <c r="B23" s="10" t="inlineStr">
        <is>
          <t>MINDI</t>
        </is>
      </c>
      <c r="C23" s="48" t="inlineStr">
        <is>
          <t>1 / A</t>
        </is>
      </c>
      <c r="D23" s="10" t="inlineStr">
        <is>
          <t>Rel Bawah Depan (Bottom Apron)</t>
        </is>
      </c>
      <c r="E23" s="10" t="n">
        <v>1410</v>
      </c>
      <c r="F23" s="10" t="n">
        <v>45</v>
      </c>
      <c r="G23" s="10" t="n">
        <v>30</v>
      </c>
      <c r="H23" s="10" t="n">
        <v>1</v>
      </c>
      <c r="I23" s="10" t="inlineStr">
        <is>
          <t>Y</t>
        </is>
      </c>
      <c r="J23" s="10" t="inlineStr">
        <is>
          <t>N</t>
        </is>
      </c>
      <c r="K23" s="10" t="n"/>
      <c r="L23" s="10" t="inlineStr">
        <is>
          <t>Part 1 / Code A (Solid wood 45x30) | P-06</t>
        </is>
      </c>
      <c r="M23" s="25">
        <f>IF(OR(E23="",F23="",G23=""),"",E23*F23*G23/1000000000*IF(H23="",1,H23))</f>
        <v/>
      </c>
      <c r="N23" s="19">
        <f>IF(OR(E23="",F23=""),"",E23*F23/1000000*IF(H23="",1,H23))</f>
        <v/>
      </c>
      <c r="O23" s="14">
        <f>IF(E23="","",IF(K23&lt;&gt;"",K23,IF(AND(E23*F23*G23/1000000000&lt;LISTS!$F$4,MAX(E23,F23,G23)&lt;LISTS!$F$5),"D",IF(I23="N","C",IF(J23="Y","A-CURVED",IF(AND(MEDIAN(E23,F23,G23)&lt;=LISTS!$F$10,MAX(E23,F23,G23)&lt;=LISTS!$F$11),"B",IF(MAX(E23,F23,G23)&gt;=LISTS!$F$3,"A","B")))))))</f>
        <v/>
      </c>
      <c r="P23" s="14" t="n"/>
      <c r="Q23" s="14" t="n"/>
      <c r="R23" s="14">
        <f>IF(E23="","",IF(B23="","material?",IF(OR(F23="",G23=""),"size?",IF(I23="","exposed Y/N?",IF(H23="","qty?",IF(B23="OTHER","OTHER: no rate, price it under hardware","OK"))))))</f>
        <v/>
      </c>
      <c r="S23" s="12">
        <f t="array" ref="S23">IF(OR(O23="",M23=""),"",IF(B23="MERANTI",RATES!$C$45,IFERROR(INDEX(RATES!$C:$C,MATCH(B23&amp;"_"&amp;SUBSTITUTE(O23,"-CURVED","C"),RATES!$A:$A,0)),"rate?")))</f>
        <v/>
      </c>
      <c r="T23" s="12">
        <f>IF(ISNUMBER(S23),M23*S23,"")</f>
        <v/>
      </c>
    </row>
    <row r="24" ht="15.75" customHeight="1" s="59">
      <c r="A24" s="9" t="n">
        <v>7</v>
      </c>
      <c r="B24" s="10" t="inlineStr">
        <is>
          <t>MINDI</t>
        </is>
      </c>
      <c r="C24" s="48" t="inlineStr">
        <is>
          <t>2 / A</t>
        </is>
      </c>
      <c r="D24" s="10" t="inlineStr">
        <is>
          <t>Rel Samping (Side Rails)</t>
        </is>
      </c>
      <c r="E24" s="10" t="n">
        <v>360</v>
      </c>
      <c r="F24" s="10" t="n">
        <v>45</v>
      </c>
      <c r="G24" s="10" t="n">
        <v>30</v>
      </c>
      <c r="H24" s="10" t="n">
        <v>4</v>
      </c>
      <c r="I24" s="10" t="inlineStr">
        <is>
          <t>Y</t>
        </is>
      </c>
      <c r="J24" s="10" t="inlineStr">
        <is>
          <t>N</t>
        </is>
      </c>
      <c r="K24" s="10" t="n"/>
      <c r="L24" s="10" t="inlineStr">
        <is>
          <t>Part 2 / Code A (Solid wood 45x30) | P-07</t>
        </is>
      </c>
      <c r="M24" s="25">
        <f>IF(OR(E24="",F24="",G24=""),"",E24*F24*G24/1000000000*IF(H24="",1,H24))</f>
        <v/>
      </c>
      <c r="N24" s="19">
        <f>IF(OR(E24="",F24=""),"",E24*F24/1000000*IF(H24="",1,H24))</f>
        <v/>
      </c>
      <c r="O24" s="14">
        <f>IF(E24="","",IF(K24&lt;&gt;"",K24,IF(AND(E24*F24*G24/1000000000&lt;LISTS!$F$4,MAX(E24,F24,G24)&lt;LISTS!$F$5),"D",IF(I24="N","C",IF(J24="Y","A-CURVED",IF(AND(MEDIAN(E24,F24,G24)&lt;=LISTS!$F$10,MAX(E24,F24,G24)&lt;=LISTS!$F$11),"B",IF(MAX(E24,F24,G24)&gt;=LISTS!$F$3,"A","B")))))))</f>
        <v/>
      </c>
      <c r="P24" s="14" t="n"/>
      <c r="Q24" s="14" t="n"/>
      <c r="R24" s="14">
        <f>IF(E24="","",IF(B24="","material?",IF(OR(F24="",G24=""),"size?",IF(I24="","exposed Y/N?",IF(H24="","qty?",IF(B24="OTHER","OTHER: no rate, price it under hardware","OK"))))))</f>
        <v/>
      </c>
      <c r="S24" s="12">
        <f t="array" ref="S24">IF(OR(O24="",M24=""),"",IF(B24="MERANTI",RATES!$C$45,IFERROR(INDEX(RATES!$C:$C,MATCH(B24&amp;"_"&amp;SUBSTITUTE(O24,"-CURVED","C"),RATES!$A:$A,0)),"rate?")))</f>
        <v/>
      </c>
      <c r="T24" s="12">
        <f>IF(ISNUMBER(S24),M24*S24,"")</f>
        <v/>
      </c>
    </row>
    <row r="25" ht="15.75" customHeight="1" s="59">
      <c r="A25" s="9" t="n">
        <v>8</v>
      </c>
      <c r="B25" s="10" t="inlineStr">
        <is>
          <t>MINDI</t>
        </is>
      </c>
      <c r="C25" s="48" t="inlineStr">
        <is>
          <t>16 / A</t>
        </is>
      </c>
      <c r="D25" s="10" t="inlineStr">
        <is>
          <t>Rel Belakang (Rear Rails)</t>
        </is>
      </c>
      <c r="E25" s="10" t="n">
        <v>1410</v>
      </c>
      <c r="F25" s="10" t="n">
        <v>45</v>
      </c>
      <c r="G25" s="10" t="n">
        <v>30</v>
      </c>
      <c r="H25" s="10" t="n">
        <v>2</v>
      </c>
      <c r="I25" s="10" t="inlineStr">
        <is>
          <t>N</t>
        </is>
      </c>
      <c r="J25" s="10" t="inlineStr">
        <is>
          <t>N</t>
        </is>
      </c>
      <c r="K25" s="10" t="n"/>
      <c r="L25" s="10" t="inlineStr">
        <is>
          <t>Part 16 / Code A (Solid wood 45x30) | P-08</t>
        </is>
      </c>
      <c r="M25" s="25">
        <f>IF(OR(E25="",F25="",G25=""),"",E25*F25*G25/1000000000*IF(H25="",1,H25))</f>
        <v/>
      </c>
      <c r="N25" s="19">
        <f>IF(OR(E25="",F25=""),"",E25*F25/1000000*IF(H25="",1,H25))</f>
        <v/>
      </c>
      <c r="O25" s="14">
        <f>IF(E25="","",IF(K25&lt;&gt;"",K25,IF(AND(E25*F25*G25/1000000000&lt;LISTS!$F$4,MAX(E25,F25,G25)&lt;LISTS!$F$5),"D",IF(I25="N","C",IF(J25="Y","A-CURVED",IF(AND(MEDIAN(E25,F25,G25)&lt;=LISTS!$F$10,MAX(E25,F25,G25)&lt;=LISTS!$F$11),"B",IF(MAX(E25,F25,G25)&gt;=LISTS!$F$3,"A","B")))))))</f>
        <v/>
      </c>
      <c r="P25" s="14" t="n"/>
      <c r="Q25" s="14" t="n"/>
      <c r="R25" s="14">
        <f>IF(E25="","",IF(B25="","material?",IF(OR(F25="",G25=""),"size?",IF(I25="","exposed Y/N?",IF(H25="","qty?",IF(B25="OTHER","OTHER: no rate, price it under hardware","OK"))))))</f>
        <v/>
      </c>
      <c r="S25" s="12">
        <f t="array" ref="S25">IF(OR(O25="",M25=""),"",IF(B25="MERANTI",RATES!$C$45,IFERROR(INDEX(RATES!$C:$C,MATCH(B25&amp;"_"&amp;SUBSTITUTE(O25,"-CURVED","C"),RATES!$A:$A,0)),"rate?")))</f>
        <v/>
      </c>
      <c r="T25" s="12">
        <f>IF(ISNUMBER(S25),M25*S25,"")</f>
        <v/>
      </c>
    </row>
    <row r="26" ht="15.75" customHeight="1" s="59">
      <c r="A26" s="9" t="n">
        <v>9</v>
      </c>
      <c r="B26" s="10" t="inlineStr">
        <is>
          <t>MINDI</t>
        </is>
      </c>
      <c r="C26" s="48" t="inlineStr">
        <is>
          <t>6 / A</t>
        </is>
      </c>
      <c r="D26" s="10" t="inlineStr">
        <is>
          <t>Frame Muka Laci Stile</t>
        </is>
      </c>
      <c r="E26" s="10" t="n">
        <v>200</v>
      </c>
      <c r="F26" s="10" t="n">
        <v>45</v>
      </c>
      <c r="G26" s="10" t="n">
        <v>20</v>
      </c>
      <c r="H26" s="10" t="n">
        <v>12</v>
      </c>
      <c r="I26" s="10" t="inlineStr">
        <is>
          <t>Y</t>
        </is>
      </c>
      <c r="J26" s="10" t="inlineStr">
        <is>
          <t>N</t>
        </is>
      </c>
      <c r="K26" s="10" t="n"/>
      <c r="L26" s="10" t="inlineStr">
        <is>
          <t>Part 6 / Code A (Solid wood 45x20) | P-09</t>
        </is>
      </c>
      <c r="M26" s="25">
        <f>IF(OR(E26="",F26="",G26=""),"",E26*F26*G26/1000000000*IF(H26="",1,H26))</f>
        <v/>
      </c>
      <c r="N26" s="19">
        <f>IF(OR(E26="",F26=""),"",E26*F26/1000000*IF(H26="",1,H26))</f>
        <v/>
      </c>
      <c r="O26" s="14">
        <f>IF(E26="","",IF(K26&lt;&gt;"",K26,IF(AND(E26*F26*G26/1000000000&lt;LISTS!$F$4,MAX(E26,F26,G26)&lt;LISTS!$F$5),"D",IF(I26="N","C",IF(J26="Y","A-CURVED",IF(AND(MEDIAN(E26,F26,G26)&lt;=LISTS!$F$10,MAX(E26,F26,G26)&lt;=LISTS!$F$11),"B",IF(MAX(E26,F26,G26)&gt;=LISTS!$F$3,"A","B")))))))</f>
        <v/>
      </c>
      <c r="P26" s="14" t="n"/>
      <c r="Q26" s="14" t="n"/>
      <c r="R26" s="14">
        <f>IF(E26="","",IF(B26="","material?",IF(OR(F26="",G26=""),"size?",IF(I26="","exposed Y/N?",IF(H26="","qty?",IF(B26="OTHER","OTHER: no rate, price it under hardware","OK"))))))</f>
        <v/>
      </c>
      <c r="S26" s="12">
        <f t="array" ref="S26">IF(OR(O26="",M26=""),"",IF(B26="MERANTI",RATES!$C$45,IFERROR(INDEX(RATES!$C:$C,MATCH(B26&amp;"_"&amp;SUBSTITUTE(O26,"-CURVED","C"),RATES!$A:$A,0)),"rate?")))</f>
        <v/>
      </c>
      <c r="T26" s="12">
        <f>IF(ISNUMBER(S26),M26*S26,"")</f>
        <v/>
      </c>
    </row>
    <row r="27" ht="15.75" customHeight="1" s="59">
      <c r="A27" s="9" t="n">
        <v>10</v>
      </c>
      <c r="B27" s="10" t="inlineStr">
        <is>
          <t>MINDI</t>
        </is>
      </c>
      <c r="C27" s="48" t="inlineStr">
        <is>
          <t>6 / A</t>
        </is>
      </c>
      <c r="D27" s="10" t="inlineStr">
        <is>
          <t>Frame Muka Laci Rail</t>
        </is>
      </c>
      <c r="E27" s="10" t="n">
        <v>615</v>
      </c>
      <c r="F27" s="10" t="n">
        <v>45</v>
      </c>
      <c r="G27" s="10" t="n">
        <v>20</v>
      </c>
      <c r="H27" s="10" t="n">
        <v>12</v>
      </c>
      <c r="I27" s="10" t="inlineStr">
        <is>
          <t>Y</t>
        </is>
      </c>
      <c r="J27" s="10" t="inlineStr">
        <is>
          <t>N</t>
        </is>
      </c>
      <c r="K27" s="10" t="n"/>
      <c r="L27" s="10" t="inlineStr">
        <is>
          <t>Part 6 / Code A (Solid wood 45x20) | P-10</t>
        </is>
      </c>
      <c r="M27" s="25">
        <f>IF(OR(E27="",F27="",G27=""),"",E27*F27*G27/1000000000*IF(H27="",1,H27))</f>
        <v/>
      </c>
      <c r="N27" s="19">
        <f>IF(OR(E27="",F27=""),"",E27*F27/1000000*IF(H27="",1,H27))</f>
        <v/>
      </c>
      <c r="O27" s="14">
        <f>IF(E27="","",IF(K27&lt;&gt;"",K27,IF(AND(E27*F27*G27/1000000000&lt;LISTS!$F$4,MAX(E27,F27,G27)&lt;LISTS!$F$5),"D",IF(I27="N","C",IF(J27="Y","A-CURVED",IF(AND(MEDIAN(E27,F27,G27)&lt;=LISTS!$F$10,MAX(E27,F27,G27)&lt;=LISTS!$F$11),"B",IF(MAX(E27,F27,G27)&gt;=LISTS!$F$3,"A","B")))))))</f>
        <v/>
      </c>
      <c r="P27" s="14" t="n"/>
      <c r="Q27" s="14" t="n"/>
      <c r="R27" s="14">
        <f>IF(E27="","",IF(B27="","material?",IF(OR(F27="",G27=""),"size?",IF(I27="","exposed Y/N?",IF(H27="","qty?",IF(B27="OTHER","OTHER: no rate, price it under hardware","OK"))))))</f>
        <v/>
      </c>
      <c r="S27" s="12">
        <f t="array" ref="S27">IF(OR(O27="",M27=""),"",IF(B27="MERANTI",RATES!$C$45,IFERROR(INDEX(RATES!$C:$C,MATCH(B27&amp;"_"&amp;SUBSTITUTE(O27,"-CURVED","C"),RATES!$A:$A,0)),"rate?")))</f>
        <v/>
      </c>
      <c r="T27" s="12">
        <f>IF(ISNUMBER(S27),M27*S27,"")</f>
        <v/>
      </c>
    </row>
    <row r="28" ht="15.75" customHeight="1" s="59">
      <c r="A28" s="9" t="n">
        <v>11</v>
      </c>
      <c r="B28" s="10" t="inlineStr">
        <is>
          <t>MINDI</t>
        </is>
      </c>
      <c r="C28" s="48" t="inlineStr">
        <is>
          <t>18 / A</t>
        </is>
      </c>
      <c r="D28" s="10" t="inlineStr">
        <is>
          <t>Drawer Cleats / Runner Supports</t>
        </is>
      </c>
      <c r="E28" s="10" t="n">
        <v>350</v>
      </c>
      <c r="F28" s="10" t="n">
        <v>30</v>
      </c>
      <c r="G28" s="10" t="n">
        <v>20</v>
      </c>
      <c r="H28" s="10" t="n">
        <v>12</v>
      </c>
      <c r="I28" s="10" t="inlineStr">
        <is>
          <t>N</t>
        </is>
      </c>
      <c r="J28" s="10" t="inlineStr">
        <is>
          <t>N</t>
        </is>
      </c>
      <c r="K28" s="10" t="n"/>
      <c r="L28" s="10" t="inlineStr">
        <is>
          <t>Part 18 / Code A (Solid wood 30x20) | P-11</t>
        </is>
      </c>
      <c r="M28" s="25">
        <f>IF(OR(E28="",F28="",G28=""),"",E28*F28*G28/1000000000*IF(H28="",1,H28))</f>
        <v/>
      </c>
      <c r="N28" s="19">
        <f>IF(OR(E28="",F28=""),"",E28*F28/1000000*IF(H28="",1,H28))</f>
        <v/>
      </c>
      <c r="O28" s="14">
        <f>IF(E28="","",IF(K28&lt;&gt;"",K28,IF(AND(E28*F28*G28/1000000000&lt;LISTS!$F$4,MAX(E28,F28,G28)&lt;LISTS!$F$5),"D",IF(I28="N","C",IF(J28="Y","A-CURVED",IF(AND(MEDIAN(E28,F28,G28)&lt;=LISTS!$F$10,MAX(E28,F28,G28)&lt;=LISTS!$F$11),"B",IF(MAX(E28,F28,G28)&gt;=LISTS!$F$3,"A","B")))))))</f>
        <v/>
      </c>
      <c r="P28" s="14" t="n"/>
      <c r="Q28" s="14" t="n"/>
      <c r="R28" s="14">
        <f>IF(E28="","",IF(B28="","material?",IF(OR(F28="",G28=""),"size?",IF(I28="","exposed Y/N?",IF(H28="","qty?",IF(B28="OTHER","OTHER: no rate, price it under hardware","OK"))))))</f>
        <v/>
      </c>
      <c r="S28" s="12">
        <f t="array" ref="S28">IF(OR(O28="",M28=""),"",IF(B28="MERANTI",RATES!$C$45,IFERROR(INDEX(RATES!$C:$C,MATCH(B28&amp;"_"&amp;SUBSTITUTE(O28,"-CURVED","C"),RATES!$A:$A,0)),"rate?")))</f>
        <v/>
      </c>
      <c r="T28" s="12">
        <f>IF(ISNUMBER(S28),M28*S28,"")</f>
        <v/>
      </c>
    </row>
    <row r="29" ht="15.75" customHeight="1" s="59">
      <c r="A29" s="9" t="n">
        <v>12</v>
      </c>
      <c r="B29" s="10" t="n"/>
      <c r="C29" s="48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25">
        <f>IF(OR(E29="",F29="",G29=""),"",E29*F29*G29/1000000000*IF(H29="",1,H29))</f>
        <v/>
      </c>
      <c r="N29" s="19">
        <f>IF(OR(E29="",F29=""),"",E29*F29/1000000*IF(H29="",1,H29))</f>
        <v/>
      </c>
      <c r="O29" s="14">
        <f>IF(E29="","",IF(K29&lt;&gt;"",K29,IF(AND(E29*F29*G29/1000000000&lt;LISTS!$F$4,MAX(E29,F29,G29)&lt;LISTS!$F$5),"D",IF(I29="N","C",IF(J29="Y","A-CURVED",IF(AND(MEDIAN(E29,F29,G29)&lt;=LISTS!$F$10,MAX(E29,F29,G29)&lt;=LISTS!$F$11),"B",IF(MAX(E29,F29,G29)&gt;=LISTS!$F$3,"A","B")))))))</f>
        <v/>
      </c>
      <c r="P29" s="14" t="n"/>
      <c r="Q29" s="14" t="n"/>
      <c r="R29" s="14">
        <f>IF(E29="","",IF(B29="","material?",IF(OR(F29="",G29=""),"size?",IF(I29="","exposed Y/N?",IF(H29="","qty?",IF(B29="OTHER","OTHER: no rate, price it under hardware","OK"))))))</f>
        <v/>
      </c>
      <c r="S29" s="12">
        <f t="array" ref="S29">IF(OR(O29="",M29=""),"",IF(B29="MERANTI",RATES!$C$45,IFERROR(INDEX(RATES!$C:$C,MATCH(B29&amp;"_"&amp;SUBSTITUTE(O29,"-CURVED","C"),RATES!$A:$A,0)),"rate?")))</f>
        <v/>
      </c>
      <c r="T29" s="12">
        <f>IF(ISNUMBER(S29),M29*S29,"")</f>
        <v/>
      </c>
    </row>
    <row r="30" ht="15.75" customHeight="1" s="59">
      <c r="A30" s="9" t="n">
        <v>13</v>
      </c>
      <c r="B30" s="10" t="n"/>
      <c r="C30" s="48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25">
        <f>IF(OR(E30="",F30="",G30=""),"",E30*F30*G30/1000000000*IF(H30="",1,H30))</f>
        <v/>
      </c>
      <c r="N30" s="19">
        <f>IF(OR(E30="",F30=""),"",E30*F30/1000000*IF(H30="",1,H30))</f>
        <v/>
      </c>
      <c r="O30" s="14">
        <f>IF(E30="","",IF(K30&lt;&gt;"",K30,IF(AND(E30*F30*G30/1000000000&lt;LISTS!$F$4,MAX(E30,F30,G30)&lt;LISTS!$F$5),"D",IF(I30="N","C",IF(J30="Y","A-CURVED",IF(AND(MEDIAN(E30,F30,G30)&lt;=LISTS!$F$10,MAX(E30,F30,G30)&lt;=LISTS!$F$11),"B",IF(MAX(E30,F30,G30)&gt;=LISTS!$F$3,"A","B")))))))</f>
        <v/>
      </c>
      <c r="P30" s="14" t="n"/>
      <c r="Q30" s="14" t="n"/>
      <c r="R30" s="14">
        <f>IF(E30="","",IF(B30="","material?",IF(OR(F30="",G30=""),"size?",IF(I30="","exposed Y/N?",IF(H30="","qty?",IF(B30="OTHER","OTHER: no rate, price it under hardware","OK"))))))</f>
        <v/>
      </c>
      <c r="S30" s="12">
        <f t="array" ref="S30">IF(OR(O30="",M30=""),"",IF(B30="MERANTI",RATES!$C$45,IFERROR(INDEX(RATES!$C:$C,MATCH(B30&amp;"_"&amp;SUBSTITUTE(O30,"-CURVED","C"),RATES!$A:$A,0)),"rate?")))</f>
        <v/>
      </c>
      <c r="T30" s="12">
        <f>IF(ISNUMBER(S30),M30*S30,"")</f>
        <v/>
      </c>
    </row>
    <row r="31" ht="15.75" customHeight="1" s="59">
      <c r="A31" s="9" t="n">
        <v>14</v>
      </c>
      <c r="B31" s="10" t="n"/>
      <c r="C31" s="48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25">
        <f>IF(OR(E31="",F31="",G31=""),"",E31*F31*G31/1000000000*IF(H31="",1,H31))</f>
        <v/>
      </c>
      <c r="N31" s="19">
        <f>IF(OR(E31="",F31=""),"",E31*F31/1000000*IF(H31="",1,H31))</f>
        <v/>
      </c>
      <c r="O31" s="14">
        <f>IF(E31="","",IF(K31&lt;&gt;"",K31,IF(AND(E31*F31*G31/1000000000&lt;LISTS!$F$4,MAX(E31,F31,G31)&lt;LISTS!$F$5),"D",IF(I31="N","C",IF(J31="Y","A-CURVED",IF(AND(MEDIAN(E31,F31,G31)&lt;=LISTS!$F$10,MAX(E31,F31,G31)&lt;=LISTS!$F$11),"B",IF(MAX(E31,F31,G31)&gt;=LISTS!$F$3,"A","B")))))))</f>
        <v/>
      </c>
      <c r="P31" s="14" t="n"/>
      <c r="Q31" s="14" t="n"/>
      <c r="R31" s="14">
        <f>IF(E31="","",IF(B31="","material?",IF(OR(F31="",G31=""),"size?",IF(I31="","exposed Y/N?",IF(H31="","qty?",IF(B31="OTHER","OTHER: no rate, price it under hardware","OK"))))))</f>
        <v/>
      </c>
      <c r="S31" s="12">
        <f t="array" ref="S31">IF(OR(O31="",M31=""),"",IF(B31="MERANTI",RATES!$C$45,IFERROR(INDEX(RATES!$C:$C,MATCH(B31&amp;"_"&amp;SUBSTITUTE(O31,"-CURVED","C"),RATES!$A:$A,0)),"rate?")))</f>
        <v/>
      </c>
      <c r="T31" s="12">
        <f>IF(ISNUMBER(S31),M31*S31,"")</f>
        <v/>
      </c>
    </row>
    <row r="32" ht="15.75" customHeight="1" s="59">
      <c r="A32" s="9" t="n">
        <v>15</v>
      </c>
      <c r="B32" s="10" t="n"/>
      <c r="C32" s="48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25">
        <f>IF(OR(E32="",F32="",G32=""),"",E32*F32*G32/1000000000*IF(H32="",1,H32))</f>
        <v/>
      </c>
      <c r="N32" s="19">
        <f>IF(OR(E32="",F32=""),"",E32*F32/1000000*IF(H32="",1,H32))</f>
        <v/>
      </c>
      <c r="O32" s="14">
        <f>IF(E32="","",IF(K32&lt;&gt;"",K32,IF(AND(E32*F32*G32/1000000000&lt;LISTS!$F$4,MAX(E32,F32,G32)&lt;LISTS!$F$5),"D",IF(I32="N","C",IF(J32="Y","A-CURVED",IF(AND(MEDIAN(E32,F32,G32)&lt;=LISTS!$F$10,MAX(E32,F32,G32)&lt;=LISTS!$F$11),"B",IF(MAX(E32,F32,G32)&gt;=LISTS!$F$3,"A","B")))))))</f>
        <v/>
      </c>
      <c r="P32" s="14" t="n"/>
      <c r="Q32" s="14" t="n"/>
      <c r="R32" s="14">
        <f>IF(E32="","",IF(B32="","material?",IF(OR(F32="",G32=""),"size?",IF(I32="","exposed Y/N?",IF(H32="","qty?",IF(B32="OTHER","OTHER: no rate, price it under hardware","OK"))))))</f>
        <v/>
      </c>
      <c r="S32" s="12">
        <f t="array" ref="S32">IF(OR(O32="",M32=""),"",IF(B32="MERANTI",RATES!$C$45,IFERROR(INDEX(RATES!$C:$C,MATCH(B32&amp;"_"&amp;SUBSTITUTE(O32,"-CURVED","C"),RATES!$A:$A,0)),"rate?")))</f>
        <v/>
      </c>
      <c r="T32" s="12">
        <f>IF(ISNUMBER(S32),M32*S32,"")</f>
        <v/>
      </c>
    </row>
    <row r="33" ht="15.75" customHeight="1" s="59">
      <c r="A33" s="9" t="n">
        <v>16</v>
      </c>
      <c r="B33" s="10" t="n"/>
      <c r="C33" s="48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25">
        <f>IF(OR(E33="",F33="",G33=""),"",E33*F33*G33/1000000000*IF(H33="",1,H33))</f>
        <v/>
      </c>
      <c r="N33" s="19">
        <f>IF(OR(E33="",F33=""),"",E33*F33/1000000*IF(H33="",1,H33))</f>
        <v/>
      </c>
      <c r="O33" s="14">
        <f>IF(E33="","",IF(K33&lt;&gt;"",K33,IF(AND(E33*F33*G33/1000000000&lt;LISTS!$F$4,MAX(E33,F33,G33)&lt;LISTS!$F$5),"D",IF(I33="N","C",IF(J33="Y","A-CURVED",IF(AND(MEDIAN(E33,F33,G33)&lt;=LISTS!$F$10,MAX(E33,F33,G33)&lt;=LISTS!$F$11),"B",IF(MAX(E33,F33,G33)&gt;=LISTS!$F$3,"A","B")))))))</f>
        <v/>
      </c>
      <c r="P33" s="14" t="n"/>
      <c r="Q33" s="14" t="n"/>
      <c r="R33" s="14">
        <f>IF(E33="","",IF(B33="","material?",IF(OR(F33="",G33=""),"size?",IF(I33="","exposed Y/N?",IF(H33="","qty?",IF(B33="OTHER","OTHER: no rate, price it under hardware","OK"))))))</f>
        <v/>
      </c>
      <c r="S33" s="12">
        <f t="array" ref="S33">IF(OR(O33="",M33=""),"",IF(B33="MERANTI",RATES!$C$45,IFERROR(INDEX(RATES!$C:$C,MATCH(B33&amp;"_"&amp;SUBSTITUTE(O33,"-CURVED","C"),RATES!$A:$A,0)),"rate?")))</f>
        <v/>
      </c>
      <c r="T33" s="12">
        <f>IF(ISNUMBER(S33),M33*S33,"")</f>
        <v/>
      </c>
    </row>
    <row r="34" ht="15.75" customHeight="1" s="59">
      <c r="A34" s="9" t="n">
        <v>17</v>
      </c>
      <c r="B34" s="10" t="n"/>
      <c r="C34" s="48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25">
        <f>IF(OR(E34="",F34="",G34=""),"",E34*F34*G34/1000000000*IF(H34="",1,H34))</f>
        <v/>
      </c>
      <c r="N34" s="19">
        <f>IF(OR(E34="",F34=""),"",E34*F34/1000000*IF(H34="",1,H34))</f>
        <v/>
      </c>
      <c r="O34" s="14">
        <f>IF(E34="","",IF(K34&lt;&gt;"",K34,IF(AND(E34*F34*G34/1000000000&lt;LISTS!$F$4,MAX(E34,F34,G34)&lt;LISTS!$F$5),"D",IF(I34="N","C",IF(J34="Y","A-CURVED",IF(AND(MEDIAN(E34,F34,G34)&lt;=LISTS!$F$10,MAX(E34,F34,G34)&lt;=LISTS!$F$11),"B",IF(MAX(E34,F34,G34)&gt;=LISTS!$F$3,"A","B")))))))</f>
        <v/>
      </c>
      <c r="P34" s="14" t="n"/>
      <c r="Q34" s="14" t="n"/>
      <c r="R34" s="14">
        <f>IF(E34="","",IF(B34="","material?",IF(OR(F34="",G34=""),"size?",IF(I34="","exposed Y/N?",IF(H34="","qty?",IF(B34="OTHER","OTHER: no rate, price it under hardware","OK"))))))</f>
        <v/>
      </c>
      <c r="S34" s="12">
        <f t="array" ref="S34">IF(OR(O34="",M34=""),"",IF(B34="MERANTI",RATES!$C$45,IFERROR(INDEX(RATES!$C:$C,MATCH(B34&amp;"_"&amp;SUBSTITUTE(O34,"-CURVED","C"),RATES!$A:$A,0)),"rate?")))</f>
        <v/>
      </c>
      <c r="T34" s="12">
        <f>IF(ISNUMBER(S34),M34*S34,"")</f>
        <v/>
      </c>
    </row>
    <row r="35" ht="15.75" customHeight="1" s="59">
      <c r="A35" s="9" t="n">
        <v>18</v>
      </c>
      <c r="B35" s="10" t="n"/>
      <c r="C35" s="48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25">
        <f>IF(OR(E35="",F35="",G35=""),"",E35*F35*G35/1000000000*IF(H35="",1,H35))</f>
        <v/>
      </c>
      <c r="N35" s="19">
        <f>IF(OR(E35="",F35=""),"",E35*F35/1000000*IF(H35="",1,H35))</f>
        <v/>
      </c>
      <c r="O35" s="14">
        <f>IF(E35="","",IF(K35&lt;&gt;"",K35,IF(AND(E35*F35*G35/1000000000&lt;LISTS!$F$4,MAX(E35,F35,G35)&lt;LISTS!$F$5),"D",IF(I35="N","C",IF(J35="Y","A-CURVED",IF(AND(MEDIAN(E35,F35,G35)&lt;=LISTS!$F$10,MAX(E35,F35,G35)&lt;=LISTS!$F$11),"B",IF(MAX(E35,F35,G35)&gt;=LISTS!$F$3,"A","B")))))))</f>
        <v/>
      </c>
      <c r="P35" s="14" t="n"/>
      <c r="Q35" s="14" t="n"/>
      <c r="R35" s="14">
        <f>IF(E35="","",IF(B35="","material?",IF(OR(F35="",G35=""),"size?",IF(I35="","exposed Y/N?",IF(H35="","qty?",IF(B35="OTHER","OTHER: no rate, price it under hardware","OK"))))))</f>
        <v/>
      </c>
      <c r="S35" s="12">
        <f t="array" ref="S35">IF(OR(O35="",M35=""),"",IF(B35="MERANTI",RATES!$C$45,IFERROR(INDEX(RATES!$C:$C,MATCH(B35&amp;"_"&amp;SUBSTITUTE(O35,"-CURVED","C"),RATES!$A:$A,0)),"rate?")))</f>
        <v/>
      </c>
      <c r="T35" s="12">
        <f>IF(ISNUMBER(S35),M35*S35,"")</f>
        <v/>
      </c>
    </row>
    <row r="36" ht="15.75" customHeight="1" s="59">
      <c r="A36" s="9" t="n">
        <v>19</v>
      </c>
      <c r="B36" s="10" t="n"/>
      <c r="C36" s="48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25">
        <f>IF(OR(E36="",F36="",G36=""),"",E36*F36*G36/1000000000*IF(H36="",1,H36))</f>
        <v/>
      </c>
      <c r="N36" s="19">
        <f>IF(OR(E36="",F36=""),"",E36*F36/1000000*IF(H36="",1,H36))</f>
        <v/>
      </c>
      <c r="O36" s="14">
        <f>IF(E36="","",IF(K36&lt;&gt;"",K36,IF(AND(E36*F36*G36/1000000000&lt;LISTS!$F$4,MAX(E36,F36,G36)&lt;LISTS!$F$5),"D",IF(I36="N","C",IF(J36="Y","A-CURVED",IF(AND(MEDIAN(E36,F36,G36)&lt;=LISTS!$F$10,MAX(E36,F36,G36)&lt;=LISTS!$F$11),"B",IF(MAX(E36,F36,G36)&gt;=LISTS!$F$3,"A","B")))))))</f>
        <v/>
      </c>
      <c r="P36" s="14" t="n"/>
      <c r="Q36" s="14" t="n"/>
      <c r="R36" s="14">
        <f>IF(E36="","",IF(B36="","material?",IF(OR(F36="",G36=""),"size?",IF(I36="","exposed Y/N?",IF(H36="","qty?",IF(B36="OTHER","OTHER: no rate, price it under hardware","OK"))))))</f>
        <v/>
      </c>
      <c r="S36" s="12">
        <f t="array" ref="S36">IF(OR(O36="",M36=""),"",IF(B36="MERANTI",RATES!$C$45,IFERROR(INDEX(RATES!$C:$C,MATCH(B36&amp;"_"&amp;SUBSTITUTE(O36,"-CURVED","C"),RATES!$A:$A,0)),"rate?")))</f>
        <v/>
      </c>
      <c r="T36" s="12">
        <f>IF(ISNUMBER(S36),M36*S36,"")</f>
        <v/>
      </c>
    </row>
    <row r="37" ht="15.75" customHeight="1" s="59">
      <c r="A37" s="9" t="n">
        <v>20</v>
      </c>
      <c r="B37" s="10" t="n"/>
      <c r="C37" s="48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25">
        <f>IF(OR(E37="",F37="",G37=""),"",E37*F37*G37/1000000000*IF(H37="",1,H37))</f>
        <v/>
      </c>
      <c r="N37" s="19">
        <f>IF(OR(E37="",F37=""),"",E37*F37/1000000*IF(H37="",1,H37))</f>
        <v/>
      </c>
      <c r="O37" s="14">
        <f>IF(E37="","",IF(K37&lt;&gt;"",K37,IF(AND(E37*F37*G37/1000000000&lt;LISTS!$F$4,MAX(E37,F37,G37)&lt;LISTS!$F$5),"D",IF(I37="N","C",IF(J37="Y","A-CURVED",IF(AND(MEDIAN(E37,F37,G37)&lt;=LISTS!$F$10,MAX(E37,F37,G37)&lt;=LISTS!$F$11),"B",IF(MAX(E37,F37,G37)&gt;=LISTS!$F$3,"A","B")))))))</f>
        <v/>
      </c>
      <c r="P37" s="14" t="n"/>
      <c r="Q37" s="14" t="n"/>
      <c r="R37" s="14">
        <f>IF(E37="","",IF(B37="","material?",IF(OR(F37="",G37=""),"size?",IF(I37="","exposed Y/N?",IF(H37="","qty?",IF(B37="OTHER","OTHER: no rate, price it under hardware","OK"))))))</f>
        <v/>
      </c>
      <c r="S37" s="12">
        <f t="array" ref="S37">IF(OR(O37="",M37=""),"",IF(B37="MERANTI",RATES!$C$45,IFERROR(INDEX(RATES!$C:$C,MATCH(B37&amp;"_"&amp;SUBSTITUTE(O37,"-CURVED","C"),RATES!$A:$A,0)),"rate?")))</f>
        <v/>
      </c>
      <c r="T37" s="12">
        <f>IF(ISNUMBER(S37),M37*S37,"")</f>
        <v/>
      </c>
    </row>
    <row r="38" ht="15.75" customHeight="1" s="59">
      <c r="A38" s="9" t="n">
        <v>21</v>
      </c>
      <c r="B38" s="10" t="n"/>
      <c r="C38" s="48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25">
        <f>IF(OR(E38="",F38="",G38=""),"",E38*F38*G38/1000000000*IF(H38="",1,H38))</f>
        <v/>
      </c>
      <c r="N38" s="19">
        <f>IF(OR(E38="",F38=""),"",E38*F38/1000000*IF(H38="",1,H38))</f>
        <v/>
      </c>
      <c r="O38" s="14">
        <f>IF(E38="","",IF(K38&lt;&gt;"",K38,IF(AND(E38*F38*G38/1000000000&lt;LISTS!$F$4,MAX(E38,F38,G38)&lt;LISTS!$F$5),"D",IF(I38="N","C",IF(J38="Y","A-CURVED",IF(AND(MEDIAN(E38,F38,G38)&lt;=LISTS!$F$10,MAX(E38,F38,G38)&lt;=LISTS!$F$11),"B",IF(MAX(E38,F38,G38)&gt;=LISTS!$F$3,"A","B")))))))</f>
        <v/>
      </c>
      <c r="P38" s="14" t="n"/>
      <c r="Q38" s="14" t="n"/>
      <c r="R38" s="14">
        <f>IF(E38="","",IF(B38="","material?",IF(OR(F38="",G38=""),"size?",IF(I38="","exposed Y/N?",IF(H38="","qty?",IF(B38="OTHER","OTHER: no rate, price it under hardware","OK"))))))</f>
        <v/>
      </c>
      <c r="S38" s="12">
        <f t="array" ref="S38">IF(OR(O38="",M38=""),"",IF(B38="MERANTI",RATES!$C$45,IFERROR(INDEX(RATES!$C:$C,MATCH(B38&amp;"_"&amp;SUBSTITUTE(O38,"-CURVED","C"),RATES!$A:$A,0)),"rate?")))</f>
        <v/>
      </c>
      <c r="T38" s="12">
        <f>IF(ISNUMBER(S38),M38*S38,"")</f>
        <v/>
      </c>
    </row>
    <row r="39" ht="15.75" customHeight="1" s="59">
      <c r="A39" s="9" t="n">
        <v>22</v>
      </c>
      <c r="B39" s="10" t="n"/>
      <c r="C39" s="48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25">
        <f>IF(OR(E39="",F39="",G39=""),"",E39*F39*G39/1000000000*IF(H39="",1,H39))</f>
        <v/>
      </c>
      <c r="N39" s="19">
        <f>IF(OR(E39="",F39=""),"",E39*F39/1000000*IF(H39="",1,H39))</f>
        <v/>
      </c>
      <c r="O39" s="14">
        <f>IF(E39="","",IF(K39&lt;&gt;"",K39,IF(AND(E39*F39*G39/1000000000&lt;LISTS!$F$4,MAX(E39,F39,G39)&lt;LISTS!$F$5),"D",IF(I39="N","C",IF(J39="Y","A-CURVED",IF(AND(MEDIAN(E39,F39,G39)&lt;=LISTS!$F$10,MAX(E39,F39,G39)&lt;=LISTS!$F$11),"B",IF(MAX(E39,F39,G39)&gt;=LISTS!$F$3,"A","B")))))))</f>
        <v/>
      </c>
      <c r="P39" s="14" t="n"/>
      <c r="Q39" s="14" t="n"/>
      <c r="R39" s="14">
        <f>IF(E39="","",IF(B39="","material?",IF(OR(F39="",G39=""),"size?",IF(I39="","exposed Y/N?",IF(H39="","qty?",IF(B39="OTHER","OTHER: no rate, price it under hardware","OK"))))))</f>
        <v/>
      </c>
      <c r="S39" s="12">
        <f t="array" ref="S39">IF(OR(O39="",M39=""),"",IF(B39="MERANTI",RATES!$C$45,IFERROR(INDEX(RATES!$C:$C,MATCH(B39&amp;"_"&amp;SUBSTITUTE(O39,"-CURVED","C"),RATES!$A:$A,0)),"rate?")))</f>
        <v/>
      </c>
      <c r="T39" s="12">
        <f>IF(ISNUMBER(S39),M39*S39,"")</f>
        <v/>
      </c>
    </row>
    <row r="40" ht="15.75" customHeight="1" s="59">
      <c r="A40" s="9" t="n">
        <v>23</v>
      </c>
      <c r="B40" s="10" t="n"/>
      <c r="C40" s="48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25">
        <f>IF(OR(E40="",F40="",G40=""),"",E40*F40*G40/1000000000*IF(H40="",1,H40))</f>
        <v/>
      </c>
      <c r="N40" s="19">
        <f>IF(OR(E40="",F40=""),"",E40*F40/1000000*IF(H40="",1,H40))</f>
        <v/>
      </c>
      <c r="O40" s="14">
        <f>IF(E40="","",IF(K40&lt;&gt;"",K40,IF(AND(E40*F40*G40/1000000000&lt;LISTS!$F$4,MAX(E40,F40,G40)&lt;LISTS!$F$5),"D",IF(I40="N","C",IF(J40="Y","A-CURVED",IF(AND(MEDIAN(E40,F40,G40)&lt;=LISTS!$F$10,MAX(E40,F40,G40)&lt;=LISTS!$F$11),"B",IF(MAX(E40,F40,G40)&gt;=LISTS!$F$3,"A","B")))))))</f>
        <v/>
      </c>
      <c r="P40" s="14" t="n"/>
      <c r="Q40" s="14" t="n"/>
      <c r="R40" s="14">
        <f>IF(E40="","",IF(B40="","material?",IF(OR(F40="",G40=""),"size?",IF(I40="","exposed Y/N?",IF(H40="","qty?",IF(B40="OTHER","OTHER: no rate, price it under hardware","OK"))))))</f>
        <v/>
      </c>
      <c r="S40" s="12">
        <f t="array" ref="S40">IF(OR(O40="",M40=""),"",IF(B40="MERANTI",RATES!$C$45,IFERROR(INDEX(RATES!$C:$C,MATCH(B40&amp;"_"&amp;SUBSTITUTE(O40,"-CURVED","C"),RATES!$A:$A,0)),"rate?")))</f>
        <v/>
      </c>
      <c r="T40" s="12">
        <f>IF(ISNUMBER(S40),M40*S40,"")</f>
        <v/>
      </c>
    </row>
    <row r="41" ht="15.75" customHeight="1" s="59">
      <c r="A41" s="9" t="n">
        <v>24</v>
      </c>
      <c r="B41" s="10" t="n"/>
      <c r="C41" s="48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25">
        <f>IF(OR(E41="",F41="",G41=""),"",E41*F41*G41/1000000000*IF(H41="",1,H41))</f>
        <v/>
      </c>
      <c r="N41" s="19">
        <f>IF(OR(E41="",F41=""),"",E41*F41/1000000*IF(H41="",1,H41))</f>
        <v/>
      </c>
      <c r="O41" s="14">
        <f>IF(E41="","",IF(K41&lt;&gt;"",K41,IF(AND(E41*F41*G41/1000000000&lt;LISTS!$F$4,MAX(E41,F41,G41)&lt;LISTS!$F$5),"D",IF(I41="N","C",IF(J41="Y","A-CURVED",IF(AND(MEDIAN(E41,F41,G41)&lt;=LISTS!$F$10,MAX(E41,F41,G41)&lt;=LISTS!$F$11),"B",IF(MAX(E41,F41,G41)&gt;=LISTS!$F$3,"A","B")))))))</f>
        <v/>
      </c>
      <c r="P41" s="14" t="n"/>
      <c r="Q41" s="14" t="n"/>
      <c r="R41" s="14">
        <f>IF(E41="","",IF(B41="","material?",IF(OR(F41="",G41=""),"size?",IF(I41="","exposed Y/N?",IF(H41="","qty?",IF(B41="OTHER","OTHER: no rate, price it under hardware","OK"))))))</f>
        <v/>
      </c>
      <c r="S41" s="12">
        <f t="array" ref="S41">IF(OR(O41="",M41=""),"",IF(B41="MERANTI",RATES!$C$45,IFERROR(INDEX(RATES!$C:$C,MATCH(B41&amp;"_"&amp;SUBSTITUTE(O41,"-CURVED","C"),RATES!$A:$A,0)),"rate?")))</f>
        <v/>
      </c>
      <c r="T41" s="12">
        <f>IF(ISNUMBER(S41),M41*S41,"")</f>
        <v/>
      </c>
    </row>
    <row r="42" ht="15.75" customHeight="1" s="59">
      <c r="A42" s="9" t="n">
        <v>25</v>
      </c>
      <c r="B42" s="10" t="n"/>
      <c r="C42" s="48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25">
        <f>IF(OR(E42="",F42="",G42=""),"",E42*F42*G42/1000000000*IF(H42="",1,H42))</f>
        <v/>
      </c>
      <c r="N42" s="19">
        <f>IF(OR(E42="",F42=""),"",E42*F42/1000000*IF(H42="",1,H42))</f>
        <v/>
      </c>
      <c r="O42" s="14">
        <f>IF(E42="","",IF(K42&lt;&gt;"",K42,IF(AND(E42*F42*G42/1000000000&lt;LISTS!$F$4,MAX(E42,F42,G42)&lt;LISTS!$F$5),"D",IF(I42="N","C",IF(J42="Y","A-CURVED",IF(AND(MEDIAN(E42,F42,G42)&lt;=LISTS!$F$10,MAX(E42,F42,G42)&lt;=LISTS!$F$11),"B",IF(MAX(E42,F42,G42)&gt;=LISTS!$F$3,"A","B")))))))</f>
        <v/>
      </c>
      <c r="P42" s="14" t="n"/>
      <c r="Q42" s="14" t="n"/>
      <c r="R42" s="14">
        <f>IF(E42="","",IF(B42="","material?",IF(OR(F42="",G42=""),"size?",IF(I42="","exposed Y/N?",IF(H42="","qty?",IF(B42="OTHER","OTHER: no rate, price it under hardware","OK"))))))</f>
        <v/>
      </c>
      <c r="S42" s="12">
        <f t="array" ref="S42">IF(OR(O42="",M42=""),"",IF(B42="MERANTI",RATES!$C$45,IFERROR(INDEX(RATES!$C:$C,MATCH(B42&amp;"_"&amp;SUBSTITUTE(O42,"-CURVED","C"),RATES!$A:$A,0)),"rate?")))</f>
        <v/>
      </c>
      <c r="T42" s="12">
        <f>IF(ISNUMBER(S42),M42*S42,"")</f>
        <v/>
      </c>
    </row>
    <row r="43" ht="15.75" customHeight="1" s="59"/>
    <row r="44" ht="15.75" customHeight="1" s="59">
      <c r="A44" s="5" t="inlineStr">
        <is>
          <t>PANELS: one line per panel, L × W in mm, T = board thickness, qty per item. No size (round, oversize, laminated): enter SHEETS (manual)</t>
        </is>
      </c>
    </row>
    <row r="45" ht="31.5" customHeight="1" s="59">
      <c r="A45" s="8" t="inlineStr">
        <is>
          <t>NO</t>
        </is>
      </c>
      <c r="B45" s="8" t="inlineStr">
        <is>
          <t>PANEL TYPE</t>
        </is>
      </c>
      <c r="C45" s="47" t="inlineStr">
        <is>
          <t>LABEL</t>
        </is>
      </c>
      <c r="D45" s="8" t="inlineStr">
        <is>
          <t>COMPONENT</t>
        </is>
      </c>
      <c r="E45" s="8" t="inlineStr">
        <is>
          <t>L mm</t>
        </is>
      </c>
      <c r="F45" s="8" t="inlineStr">
        <is>
          <t>W mm</t>
        </is>
      </c>
      <c r="G45" s="8" t="inlineStr">
        <is>
          <t>T mm</t>
        </is>
      </c>
      <c r="H45" s="8" t="inlineStr">
        <is>
          <t>QTY</t>
        </is>
      </c>
      <c r="I45" s="8" t="inlineStr">
        <is>
          <t>EXPOSED FACES (0/1/2)</t>
        </is>
      </c>
      <c r="J45" s="8" t="n"/>
      <c r="K45" s="8" t="inlineStr">
        <is>
          <t>SHEETS (manual)</t>
        </is>
      </c>
      <c r="L45" s="8" t="inlineStr">
        <is>
          <t>NOTE</t>
        </is>
      </c>
      <c r="M45" s="8" t="inlineStr">
        <is>
          <t>VOL m³ (calc)</t>
        </is>
      </c>
      <c r="N45" s="8" t="inlineStr">
        <is>
          <t>FACE m² (calc)</t>
        </is>
      </c>
      <c r="O45" s="8" t="inlineStr">
        <is>
          <t>PIECES/SHEET (calc)</t>
        </is>
      </c>
      <c r="P45" s="8" t="inlineStr">
        <is>
          <t>SHEETS (calc)</t>
        </is>
      </c>
      <c r="Q45" s="8" t="inlineStr">
        <is>
          <t>WASTE % (calc)</t>
        </is>
      </c>
      <c r="R45" s="8" t="inlineStr">
        <is>
          <t>CHECK (calc)</t>
        </is>
      </c>
      <c r="S45" s="8" t="inlineStr">
        <is>
          <t>RATE (system)</t>
        </is>
      </c>
      <c r="T45" s="8" t="inlineStr">
        <is>
          <t>COST IDR (system)</t>
        </is>
      </c>
    </row>
    <row r="46" ht="15.75" customHeight="1" s="59">
      <c r="A46" s="9" t="n">
        <v>1</v>
      </c>
      <c r="B46" s="10" t="inlineStr">
        <is>
          <t>PLY-18-MSF</t>
        </is>
      </c>
      <c r="C46" s="48" t="inlineStr">
        <is>
          <t>20 / B-18-1X</t>
        </is>
      </c>
      <c r="D46" s="10" t="inlineStr">
        <is>
          <t>Top Cap Panel (Veneer Mindi 1F)</t>
        </is>
      </c>
      <c r="E46" s="10" t="n">
        <v>1500</v>
      </c>
      <c r="F46" s="10" t="n">
        <v>450</v>
      </c>
      <c r="G46" s="10" t="n">
        <v>18</v>
      </c>
      <c r="H46" s="10" t="n">
        <v>1</v>
      </c>
      <c r="I46" s="10" t="n">
        <v>1</v>
      </c>
      <c r="J46" s="10" t="n"/>
      <c r="K46" s="10" t="n"/>
      <c r="L46" s="10" t="inlineStr">
        <is>
          <t>Part 20 / Code B-18-1X | Plywood 18mm MSF</t>
        </is>
      </c>
      <c r="M46" s="25">
        <f>IF(OR(E46="",F46="",G46=""),"",E46*F46*G46/1000000000*IF(H46="",1,H46))</f>
        <v/>
      </c>
      <c r="N46" s="19">
        <f>IF(OR(E46="",F46=""),"",E46*F46/1000000*IF(H46="",1,H46))</f>
        <v/>
      </c>
      <c r="O46" s="14">
        <f>IF(OR(E46="",F46=""),"",MAX(INT(LISTS!$F$6/(E46+LISTS!$F$8))*INT(LISTS!$F$7/(F46+LISTS!$F$8)),INT(LISTS!$F$6/(F46+LISTS!$F$8))*INT(LISTS!$F$7/(E46+LISTS!$F$8))))</f>
        <v/>
      </c>
      <c r="P46" s="19">
        <f>IF(K46&lt;&gt;"",K46,IF(OR(O46="",O46=0),"",IF(H46="",1,H46)/O46))</f>
        <v/>
      </c>
      <c r="Q46" s="36">
        <f>IF(OR(K46&lt;&gt;"",P46=""),"",1-(IF(H46="",1,H46)*E46*F46)/(ROUNDUP(P46,0)*LISTS!$F$6*LISTS!$F$7))</f>
        <v/>
      </c>
      <c r="R46" s="14">
        <f>IF(AND(E46="",K46=""),"",IF(B46="","panel type?",IF(AND(K46="",O46=0),"panel bigger than sheet",IF(AND(G46&lt;&gt;"",IFERROR(VALUE(MID(B46,5,FIND("-",B46,5)-5)),0)&lt;&gt;G46),"T must match panel type",IF(I46="","exposed faces?","OK")))))</f>
        <v/>
      </c>
      <c r="S46" s="12">
        <f t="array" ref="S46">IF(OR(B46="",P46=""),"",IFERROR(INDEX(RATES!$C:$C,MATCH(B46,RATES!$A:$A,0)),"rate?"))</f>
        <v/>
      </c>
      <c r="T46" s="12">
        <f>IF(ISNUMBER(S46),IF(K46&lt;&gt;"",K46,IF(Q46&gt;RATES!$C$97,P46*(1+RATES!$C$98),ROUNDUP(P46,0)))*S46,"")</f>
        <v/>
      </c>
    </row>
    <row r="47" ht="15.75" customHeight="1" s="59">
      <c r="A47" s="9" t="n">
        <v>2</v>
      </c>
      <c r="B47" s="10" t="inlineStr">
        <is>
          <t>PLY-9-MSF</t>
        </is>
      </c>
      <c r="C47" s="48" t="inlineStr">
        <is>
          <t>13 / B-9-1X</t>
        </is>
      </c>
      <c r="D47" s="10" t="inlineStr">
        <is>
          <t>Dinding Samping (Left &amp; Right)</t>
        </is>
      </c>
      <c r="E47" s="10" t="n">
        <v>600</v>
      </c>
      <c r="F47" s="10" t="n">
        <v>360</v>
      </c>
      <c r="G47" s="10" t="n">
        <v>9</v>
      </c>
      <c r="H47" s="10" t="n">
        <v>2</v>
      </c>
      <c r="I47" s="10" t="n">
        <v>1</v>
      </c>
      <c r="J47" s="10" t="n"/>
      <c r="K47" s="10" t="n"/>
      <c r="L47" s="10" t="inlineStr">
        <is>
          <t>Part 13 / Code B-9-1X | Plywood 9mm MSF</t>
        </is>
      </c>
      <c r="M47" s="25">
        <f>IF(OR(E47="",F47="",G47=""),"",E47*F47*G47/1000000000*IF(H47="",1,H47))</f>
        <v/>
      </c>
      <c r="N47" s="19">
        <f>IF(OR(E47="",F47=""),"",E47*F47/1000000*IF(H47="",1,H47))</f>
        <v/>
      </c>
      <c r="O47" s="14">
        <f>IF(OR(E47="",F47=""),"",MAX(INT(LISTS!$F$6/(E47+LISTS!$F$8))*INT(LISTS!$F$7/(F47+LISTS!$F$8)),INT(LISTS!$F$6/(F47+LISTS!$F$8))*INT(LISTS!$F$7/(E47+LISTS!$F$8))))</f>
        <v/>
      </c>
      <c r="P47" s="19">
        <f>IF(K47&lt;&gt;"",K47,IF(OR(O47="",O47=0),"",IF(H47="",1,H47)/O47))</f>
        <v/>
      </c>
      <c r="Q47" s="36">
        <f>IF(OR(K47&lt;&gt;"",P47=""),"",1-(IF(H47="",1,H47)*E47*F47)/(ROUNDUP(P47,0)*LISTS!$F$6*LISTS!$F$7))</f>
        <v/>
      </c>
      <c r="R47" s="14">
        <f>IF(AND(E47="",K47=""),"",IF(B47="","panel type?",IF(AND(K47="",O47=0),"panel bigger than sheet",IF(AND(G47&lt;&gt;"",IFERROR(VALUE(MID(B47,5,FIND("-",B47,5)-5)),0)&lt;&gt;G47),"T must match panel type",IF(I47="","exposed faces?","OK")))))</f>
        <v/>
      </c>
      <c r="S47" s="12">
        <f t="array" ref="S47">IF(OR(B47="",P47=""),"",IFERROR(INDEX(RATES!$C:$C,MATCH(B47,RATES!$A:$A,0)),"rate?"))</f>
        <v/>
      </c>
      <c r="T47" s="12">
        <f>IF(ISNUMBER(S47),IF(K47&lt;&gt;"",K47,IF(Q47&gt;RATES!$C$97,P47*(1+RATES!$C$98),ROUNDUP(P47,0)))*S47,"")</f>
        <v/>
      </c>
    </row>
    <row r="48" ht="15.75" customHeight="1" s="59">
      <c r="A48" s="9" t="n">
        <v>3</v>
      </c>
      <c r="B48" s="10" t="inlineStr">
        <is>
          <t>PLY-9-RAW</t>
        </is>
      </c>
      <c r="C48" s="48" t="inlineStr">
        <is>
          <t>5 / B-9-0X</t>
        </is>
      </c>
      <c r="D48" s="10" t="inlineStr">
        <is>
          <t>Dinding Pembagi Tengah</t>
        </is>
      </c>
      <c r="E48" s="10" t="n">
        <v>600</v>
      </c>
      <c r="F48" s="10" t="n">
        <v>360</v>
      </c>
      <c r="G48" s="10" t="n">
        <v>9</v>
      </c>
      <c r="H48" s="10" t="n">
        <v>1</v>
      </c>
      <c r="I48" s="10" t="n">
        <v>0</v>
      </c>
      <c r="J48" s="10" t="n"/>
      <c r="K48" s="10" t="n"/>
      <c r="L48" s="10" t="inlineStr">
        <is>
          <t>Part 5 / Code B-9-0X | Plywood 9mm RAW</t>
        </is>
      </c>
      <c r="M48" s="25">
        <f>IF(OR(E48="",F48="",G48=""),"",E48*F48*G48/1000000000*IF(H48="",1,H48))</f>
        <v/>
      </c>
      <c r="N48" s="19">
        <f>IF(OR(E48="",F48=""),"",E48*F48/1000000*IF(H48="",1,H48))</f>
        <v/>
      </c>
      <c r="O48" s="14">
        <f>IF(OR(E48="",F48=""),"",MAX(INT(LISTS!$F$6/(E48+LISTS!$F$8))*INT(LISTS!$F$7/(F48+LISTS!$F$8)),INT(LISTS!$F$6/(F48+LISTS!$F$8))*INT(LISTS!$F$7/(E48+LISTS!$F$8))))</f>
        <v/>
      </c>
      <c r="P48" s="19">
        <f>IF(K48&lt;&gt;"",K48,IF(OR(O48="",O48=0),"",IF(H48="",1,H48)/O48))</f>
        <v/>
      </c>
      <c r="Q48" s="36">
        <f>IF(OR(K48&lt;&gt;"",P48=""),"",1-(IF(H48="",1,H48)*E48*F48)/(ROUNDUP(P48,0)*LISTS!$F$6*LISTS!$F$7))</f>
        <v/>
      </c>
      <c r="R48" s="14">
        <f>IF(AND(E48="",K48=""),"",IF(B48="","panel type?",IF(AND(K48="",O48=0),"panel bigger than sheet",IF(AND(G48&lt;&gt;"",IFERROR(VALUE(MID(B48,5,FIND("-",B48,5)-5)),0)&lt;&gt;G48),"T must match panel type",IF(I48="","exposed faces?","OK")))))</f>
        <v/>
      </c>
      <c r="S48" s="12">
        <f t="array" ref="S48">IF(OR(B48="",P48=""),"",IFERROR(INDEX(RATES!$C:$C,MATCH(B48,RATES!$A:$A,0)),"rate?"))</f>
        <v/>
      </c>
      <c r="T48" s="12">
        <f>IF(ISNUMBER(S48),IF(K48&lt;&gt;"",K48,IF(Q48&gt;RATES!$C$97,P48*(1+RATES!$C$98),ROUNDUP(P48,0)))*S48,"")</f>
        <v/>
      </c>
    </row>
    <row r="49" ht="15.75" customHeight="1" s="59">
      <c r="A49" s="9" t="n">
        <v>4</v>
      </c>
      <c r="B49" s="10" t="inlineStr">
        <is>
          <t>PLY-9-RAW</t>
        </is>
      </c>
      <c r="C49" s="48" t="inlineStr">
        <is>
          <t>12 / B-9-0X</t>
        </is>
      </c>
      <c r="D49" s="10" t="inlineStr">
        <is>
          <t>Dinding Belakang (Backing Panel)</t>
        </is>
      </c>
      <c r="E49" s="10" t="n">
        <v>1410</v>
      </c>
      <c r="F49" s="10" t="n">
        <v>600</v>
      </c>
      <c r="G49" s="10" t="n">
        <v>9</v>
      </c>
      <c r="H49" s="10" t="n">
        <v>1</v>
      </c>
      <c r="I49" s="10" t="n">
        <v>0</v>
      </c>
      <c r="J49" s="10" t="n"/>
      <c r="K49" s="10" t="n"/>
      <c r="L49" s="10" t="inlineStr">
        <is>
          <t>Part 12 / Code B-9-0X | Plywood 9mm RAW</t>
        </is>
      </c>
      <c r="M49" s="25">
        <f>IF(OR(E49="",F49="",G49=""),"",E49*F49*G49/1000000000*IF(H49="",1,H49))</f>
        <v/>
      </c>
      <c r="N49" s="19">
        <f>IF(OR(E49="",F49=""),"",E49*F49/1000000*IF(H49="",1,H49))</f>
        <v/>
      </c>
      <c r="O49" s="14">
        <f>IF(OR(E49="",F49=""),"",MAX(INT(LISTS!$F$6/(E49+LISTS!$F$8))*INT(LISTS!$F$7/(F49+LISTS!$F$8)),INT(LISTS!$F$6/(F49+LISTS!$F$8))*INT(LISTS!$F$7/(E49+LISTS!$F$8))))</f>
        <v/>
      </c>
      <c r="P49" s="19">
        <f>IF(K49&lt;&gt;"",K49,IF(OR(O49="",O49=0),"",IF(H49="",1,H49)/O49))</f>
        <v/>
      </c>
      <c r="Q49" s="36">
        <f>IF(OR(K49&lt;&gt;"",P49=""),"",1-(IF(H49="",1,H49)*E49*F49)/(ROUNDUP(P49,0)*LISTS!$F$6*LISTS!$F$7))</f>
        <v/>
      </c>
      <c r="R49" s="14">
        <f>IF(AND(E49="",K49=""),"",IF(B49="","panel type?",IF(AND(K49="",O49=0),"panel bigger than sheet",IF(AND(G49&lt;&gt;"",IFERROR(VALUE(MID(B49,5,FIND("-",B49,5)-5)),0)&lt;&gt;G49),"T must match panel type",IF(I49="","exposed faces?","OK")))))</f>
        <v/>
      </c>
      <c r="S49" s="12">
        <f t="array" ref="S49">IF(OR(B49="",P49=""),"",IFERROR(INDEX(RATES!$C:$C,MATCH(B49,RATES!$A:$A,0)),"rate?"))</f>
        <v/>
      </c>
      <c r="T49" s="12">
        <f>IF(ISNUMBER(S49),IF(K49&lt;&gt;"",K49,IF(Q49&gt;RATES!$C$97,P49*(1+RATES!$C$98),ROUNDUP(P49,0)))*S49,"")</f>
        <v/>
      </c>
    </row>
    <row r="50" ht="15.75" customHeight="1" s="59">
      <c r="A50" s="9" t="n">
        <v>5</v>
      </c>
      <c r="B50" s="10" t="inlineStr">
        <is>
          <t>PLY-12-RAW</t>
        </is>
      </c>
      <c r="C50" s="48" t="inlineStr">
        <is>
          <t>8 / B-12-0X</t>
        </is>
      </c>
      <c r="D50" s="10" t="inlineStr">
        <is>
          <t>Kotak Laci Dinding Samping</t>
        </is>
      </c>
      <c r="E50" s="10" t="n">
        <v>350</v>
      </c>
      <c r="F50" s="10" t="n">
        <v>140</v>
      </c>
      <c r="G50" s="10" t="n">
        <v>12</v>
      </c>
      <c r="H50" s="10" t="n">
        <v>12</v>
      </c>
      <c r="I50" s="10" t="n">
        <v>0</v>
      </c>
      <c r="J50" s="10" t="n"/>
      <c r="K50" s="10" t="n"/>
      <c r="L50" s="10" t="inlineStr">
        <is>
          <t>Part 8 / Code B-12-0X | Plywood 12mm RAW</t>
        </is>
      </c>
      <c r="M50" s="25">
        <f>IF(OR(E50="",F50="",G50=""),"",E50*F50*G50/1000000000*IF(H50="",1,H50))</f>
        <v/>
      </c>
      <c r="N50" s="19">
        <f>IF(OR(E50="",F50=""),"",E50*F50/1000000*IF(H50="",1,H50))</f>
        <v/>
      </c>
      <c r="O50" s="14">
        <f>IF(OR(E50="",F50=""),"",MAX(INT(LISTS!$F$6/(E50+LISTS!$F$8))*INT(LISTS!$F$7/(F50+LISTS!$F$8)),INT(LISTS!$F$6/(F50+LISTS!$F$8))*INT(LISTS!$F$7/(E50+LISTS!$F$8))))</f>
        <v/>
      </c>
      <c r="P50" s="19">
        <f>IF(K50&lt;&gt;"",K50,IF(OR(O50="",O50=0),"",IF(H50="",1,H50)/O50))</f>
        <v/>
      </c>
      <c r="Q50" s="36">
        <f>IF(OR(K50&lt;&gt;"",P50=""),"",1-(IF(H50="",1,H50)*E50*F50)/(ROUNDUP(P50,0)*LISTS!$F$6*LISTS!$F$7))</f>
        <v/>
      </c>
      <c r="R50" s="14">
        <f>IF(AND(E50="",K50=""),"",IF(B50="","panel type?",IF(AND(K50="",O50=0),"panel bigger than sheet",IF(AND(G50&lt;&gt;"",IFERROR(VALUE(MID(B50,5,FIND("-",B50,5)-5)),0)&lt;&gt;G50),"T must match panel type",IF(I50="","exposed faces?","OK")))))</f>
        <v/>
      </c>
      <c r="S50" s="12">
        <f t="array" ref="S50">IF(OR(B50="",P50=""),"",IFERROR(INDEX(RATES!$C:$C,MATCH(B50,RATES!$A:$A,0)),"rate?"))</f>
        <v/>
      </c>
      <c r="T50" s="12">
        <f>IF(ISNUMBER(S50),IF(K50&lt;&gt;"",K50,IF(Q50&gt;RATES!$C$97,P50*(1+RATES!$C$98),ROUNDUP(P50,0)))*S50,"")</f>
        <v/>
      </c>
    </row>
    <row r="51" ht="15.75" customHeight="1" s="59">
      <c r="A51" s="9" t="n">
        <v>6</v>
      </c>
      <c r="B51" s="10" t="inlineStr">
        <is>
          <t>PLY-12-RAW</t>
        </is>
      </c>
      <c r="C51" s="48" t="inlineStr">
        <is>
          <t>9 / B-12-0X</t>
        </is>
      </c>
      <c r="D51" s="10" t="inlineStr">
        <is>
          <t>Kotak Laci Muka &amp; Belakang</t>
        </is>
      </c>
      <c r="E51" s="10" t="n">
        <v>621</v>
      </c>
      <c r="F51" s="10" t="n">
        <v>140</v>
      </c>
      <c r="G51" s="10" t="n">
        <v>12</v>
      </c>
      <c r="H51" s="10" t="n">
        <v>12</v>
      </c>
      <c r="I51" s="10" t="n">
        <v>0</v>
      </c>
      <c r="J51" s="10" t="n"/>
      <c r="K51" s="10" t="n"/>
      <c r="L51" s="10" t="inlineStr">
        <is>
          <t>Part 9 / Code B-12-0X | Plywood 12mm RAW</t>
        </is>
      </c>
      <c r="M51" s="25">
        <f>IF(OR(E51="",F51="",G51=""),"",E51*F51*G51/1000000000*IF(H51="",1,H51))</f>
        <v/>
      </c>
      <c r="N51" s="19">
        <f>IF(OR(E51="",F51=""),"",E51*F51/1000000*IF(H51="",1,H51))</f>
        <v/>
      </c>
      <c r="O51" s="14">
        <f>IF(OR(E51="",F51=""),"",MAX(INT(LISTS!$F$6/(E51+LISTS!$F$8))*INT(LISTS!$F$7/(F51+LISTS!$F$8)),INT(LISTS!$F$6/(F51+LISTS!$F$8))*INT(LISTS!$F$7/(E51+LISTS!$F$8))))</f>
        <v/>
      </c>
      <c r="P51" s="19">
        <f>IF(K51&lt;&gt;"",K51,IF(OR(O51="",O51=0),"",IF(H51="",1,H51)/O51))</f>
        <v/>
      </c>
      <c r="Q51" s="36">
        <f>IF(OR(K51&lt;&gt;"",P51=""),"",1-(IF(H51="",1,H51)*E51*F51)/(ROUNDUP(P51,0)*LISTS!$F$6*LISTS!$F$7))</f>
        <v/>
      </c>
      <c r="R51" s="14">
        <f>IF(AND(E51="",K51=""),"",IF(B51="","panel type?",IF(AND(K51="",O51=0),"panel bigger than sheet",IF(AND(G51&lt;&gt;"",IFERROR(VALUE(MID(B51,5,FIND("-",B51,5)-5)),0)&lt;&gt;G51),"T must match panel type",IF(I51="","exposed faces?","OK")))))</f>
        <v/>
      </c>
      <c r="S51" s="12">
        <f t="array" ref="S51">IF(OR(B51="",P51=""),"",IFERROR(INDEX(RATES!$C:$C,MATCH(B51,RATES!$A:$A,0)),"rate?"))</f>
        <v/>
      </c>
      <c r="T51" s="12">
        <f>IF(ISNUMBER(S51),IF(K51&lt;&gt;"",K51,IF(Q51&gt;RATES!$C$97,P51*(1+RATES!$C$98),ROUNDUP(P51,0)))*S51,"")</f>
        <v/>
      </c>
    </row>
    <row r="52" ht="15.75" customHeight="1" s="59">
      <c r="A52" s="9" t="n">
        <v>7</v>
      </c>
      <c r="B52" s="10" t="inlineStr">
        <is>
          <t>PLY-6-RAW</t>
        </is>
      </c>
      <c r="C52" s="48" t="inlineStr">
        <is>
          <t>10 / B-6-0X</t>
        </is>
      </c>
      <c r="D52" s="10" t="inlineStr">
        <is>
          <t>Alas Dasar Laci (Drawer Bottom)</t>
        </is>
      </c>
      <c r="E52" s="10" t="n">
        <v>633</v>
      </c>
      <c r="F52" s="10" t="n">
        <v>338</v>
      </c>
      <c r="G52" s="10" t="n">
        <v>6</v>
      </c>
      <c r="H52" s="10" t="n">
        <v>6</v>
      </c>
      <c r="I52" s="10" t="n">
        <v>0</v>
      </c>
      <c r="J52" s="10" t="n"/>
      <c r="K52" s="10" t="n"/>
      <c r="L52" s="10" t="inlineStr">
        <is>
          <t>Part 10 / Code B-6-0X | Plywood 6mm RAW</t>
        </is>
      </c>
      <c r="M52" s="25">
        <f>IF(OR(E52="",F52="",G52=""),"",E52*F52*G52/1000000000*IF(H52="",1,H52))</f>
        <v/>
      </c>
      <c r="N52" s="19">
        <f>IF(OR(E52="",F52=""),"",E52*F52/1000000*IF(H52="",1,H52))</f>
        <v/>
      </c>
      <c r="O52" s="14">
        <f>IF(OR(E52="",F52=""),"",MAX(INT(LISTS!$F$6/(E52+LISTS!$F$8))*INT(LISTS!$F$7/(F52+LISTS!$F$8)),INT(LISTS!$F$6/(F52+LISTS!$F$8))*INT(LISTS!$F$7/(E52+LISTS!$F$8))))</f>
        <v/>
      </c>
      <c r="P52" s="19">
        <f>IF(K52&lt;&gt;"",K52,IF(OR(O52="",O52=0),"",IF(H52="",1,H52)/O52))</f>
        <v/>
      </c>
      <c r="Q52" s="36">
        <f>IF(OR(K52&lt;&gt;"",P52=""),"",1-(IF(H52="",1,H52)*E52*F52)/(ROUNDUP(P52,0)*LISTS!$F$6*LISTS!$F$7))</f>
        <v/>
      </c>
      <c r="R52" s="14">
        <f>IF(AND(E52="",K52=""),"",IF(B52="","panel type?",IF(AND(K52="",O52=0),"panel bigger than sheet",IF(AND(G52&lt;&gt;"",IFERROR(VALUE(MID(B52,5,FIND("-",B52,5)-5)),0)&lt;&gt;G52),"T must match panel type",IF(I52="","exposed faces?","OK")))))</f>
        <v/>
      </c>
      <c r="S52" s="12">
        <f t="array" ref="S52">IF(OR(B52="",P52=""),"",IFERROR(INDEX(RATES!$C:$C,MATCH(B52,RATES!$A:$A,0)),"rate?"))</f>
        <v/>
      </c>
      <c r="T52" s="12">
        <f>IF(ISNUMBER(S52),IF(K52&lt;&gt;"",K52,IF(Q52&gt;RATES!$C$97,P52*(1+RATES!$C$98),ROUNDUP(P52,0)))*S52,"")</f>
        <v/>
      </c>
    </row>
    <row r="53" ht="15.75" customHeight="1" s="59">
      <c r="A53" s="9" t="n">
        <v>8</v>
      </c>
      <c r="B53" s="10" t="n"/>
      <c r="C53" s="48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25">
        <f>IF(OR(E53="",F53="",G53=""),"",E53*F53*G53/1000000000*IF(H53="",1,H53))</f>
        <v/>
      </c>
      <c r="N53" s="19">
        <f>IF(OR(E53="",F53=""),"",E53*F53/1000000*IF(H53="",1,H53))</f>
        <v/>
      </c>
      <c r="O53" s="14">
        <f>IF(OR(E53="",F53=""),"",MAX(INT(LISTS!$F$6/(E53+LISTS!$F$8))*INT(LISTS!$F$7/(F53+LISTS!$F$8)),INT(LISTS!$F$6/(F53+LISTS!$F$8))*INT(LISTS!$F$7/(E53+LISTS!$F$8))))</f>
        <v/>
      </c>
      <c r="P53" s="19">
        <f>IF(K53&lt;&gt;"",K53,IF(OR(O53="",O53=0),"",IF(H53="",1,H53)/O53))</f>
        <v/>
      </c>
      <c r="Q53" s="36">
        <f>IF(OR(K53&lt;&gt;"",P53=""),"",1-(IF(H53="",1,H53)*E53*F53)/(ROUNDUP(P53,0)*LISTS!$F$6*LISTS!$F$7))</f>
        <v/>
      </c>
      <c r="R53" s="14">
        <f>IF(AND(E53="",K53=""),"",IF(B53="","panel type?",IF(AND(K53="",O53=0),"panel bigger than sheet",IF(AND(G53&lt;&gt;"",IFERROR(VALUE(MID(B53,5,FIND("-",B53,5)-5)),0)&lt;&gt;G53),"T must match panel type",IF(I53="","exposed faces?","OK")))))</f>
        <v/>
      </c>
      <c r="S53" s="12">
        <f t="array" ref="S53">IF(OR(B53="",P53=""),"",IFERROR(INDEX(RATES!$C:$C,MATCH(B53,RATES!$A:$A,0)),"rate?"))</f>
        <v/>
      </c>
      <c r="T53" s="12">
        <f>IF(ISNUMBER(S53),IF(K53&lt;&gt;"",K53,IF(Q53&gt;RATES!$C$97,P53*(1+RATES!$C$98),ROUNDUP(P53,0)))*S53,"")</f>
        <v/>
      </c>
    </row>
    <row r="54" ht="15.75" customHeight="1" s="59">
      <c r="A54" s="9" t="n">
        <v>9</v>
      </c>
      <c r="B54" s="10" t="n"/>
      <c r="C54" s="48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25">
        <f>IF(OR(E54="",F54="",G54=""),"",E54*F54*G54/1000000000*IF(H54="",1,H54))</f>
        <v/>
      </c>
      <c r="N54" s="19">
        <f>IF(OR(E54="",F54=""),"",E54*F54/1000000*IF(H54="",1,H54))</f>
        <v/>
      </c>
      <c r="O54" s="14">
        <f>IF(OR(E54="",F54=""),"",MAX(INT(LISTS!$F$6/(E54+LISTS!$F$8))*INT(LISTS!$F$7/(F54+LISTS!$F$8)),INT(LISTS!$F$6/(F54+LISTS!$F$8))*INT(LISTS!$F$7/(E54+LISTS!$F$8))))</f>
        <v/>
      </c>
      <c r="P54" s="19">
        <f>IF(K54&lt;&gt;"",K54,IF(OR(O54="",O54=0),"",IF(H54="",1,H54)/O54))</f>
        <v/>
      </c>
      <c r="Q54" s="36">
        <f>IF(OR(K54&lt;&gt;"",P54=""),"",1-(IF(H54="",1,H54)*E54*F54)/(ROUNDUP(P54,0)*LISTS!$F$6*LISTS!$F$7))</f>
        <v/>
      </c>
      <c r="R54" s="14">
        <f>IF(AND(E54="",K54=""),"",IF(B54="","panel type?",IF(AND(K54="",O54=0),"panel bigger than sheet",IF(AND(G54&lt;&gt;"",IFERROR(VALUE(MID(B54,5,FIND("-",B54,5)-5)),0)&lt;&gt;G54),"T must match panel type",IF(I54="","exposed faces?","OK")))))</f>
        <v/>
      </c>
      <c r="S54" s="12">
        <f t="array" ref="S54">IF(OR(B54="",P54=""),"",IFERROR(INDEX(RATES!$C:$C,MATCH(B54,RATES!$A:$A,0)),"rate?"))</f>
        <v/>
      </c>
      <c r="T54" s="12">
        <f>IF(ISNUMBER(S54),IF(K54&lt;&gt;"",K54,IF(Q54&gt;RATES!$C$97,P54*(1+RATES!$C$98),ROUNDUP(P54,0)))*S54,"")</f>
        <v/>
      </c>
    </row>
    <row r="55" ht="15.75" customHeight="1" s="59">
      <c r="A55" s="9" t="n">
        <v>10</v>
      </c>
      <c r="B55" s="10" t="n"/>
      <c r="C55" s="48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25">
        <f>IF(OR(E55="",F55="",G55=""),"",E55*F55*G55/1000000000*IF(H55="",1,H55))</f>
        <v/>
      </c>
      <c r="N55" s="19">
        <f>IF(OR(E55="",F55=""),"",E55*F55/1000000*IF(H55="",1,H55))</f>
        <v/>
      </c>
      <c r="O55" s="14">
        <f>IF(OR(E55="",F55=""),"",MAX(INT(LISTS!$F$6/(E55+LISTS!$F$8))*INT(LISTS!$F$7/(F55+LISTS!$F$8)),INT(LISTS!$F$6/(F55+LISTS!$F$8))*INT(LISTS!$F$7/(E55+LISTS!$F$8))))</f>
        <v/>
      </c>
      <c r="P55" s="19">
        <f>IF(K55&lt;&gt;"",K55,IF(OR(O55="",O55=0),"",IF(H55="",1,H55)/O55))</f>
        <v/>
      </c>
      <c r="Q55" s="36">
        <f>IF(OR(K55&lt;&gt;"",P55=""),"",1-(IF(H55="",1,H55)*E55*F55)/(ROUNDUP(P55,0)*LISTS!$F$6*LISTS!$F$7))</f>
        <v/>
      </c>
      <c r="R55" s="14">
        <f>IF(AND(E55="",K55=""),"",IF(B55="","panel type?",IF(AND(K55="",O55=0),"panel bigger than sheet",IF(AND(G55&lt;&gt;"",IFERROR(VALUE(MID(B55,5,FIND("-",B55,5)-5)),0)&lt;&gt;G55),"T must match panel type",IF(I55="","exposed faces?","OK")))))</f>
        <v/>
      </c>
      <c r="S55" s="12">
        <f t="array" ref="S55">IF(OR(B55="",P55=""),"",IFERROR(INDEX(RATES!$C:$C,MATCH(B55,RATES!$A:$A,0)),"rate?"))</f>
        <v/>
      </c>
      <c r="T55" s="12">
        <f>IF(ISNUMBER(S55),IF(K55&lt;&gt;"",K55,IF(Q55&gt;RATES!$C$97,P55*(1+RATES!$C$98),ROUNDUP(P55,0)))*S55,"")</f>
        <v/>
      </c>
    </row>
    <row r="56" ht="15.75" customHeight="1" s="59">
      <c r="A56" s="9" t="n">
        <v>11</v>
      </c>
      <c r="B56" s="10" t="n"/>
      <c r="C56" s="48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25">
        <f>IF(OR(E56="",F56="",G56=""),"",E56*F56*G56/1000000000*IF(H56="",1,H56))</f>
        <v/>
      </c>
      <c r="N56" s="19">
        <f>IF(OR(E56="",F56=""),"",E56*F56/1000000*IF(H56="",1,H56))</f>
        <v/>
      </c>
      <c r="O56" s="14">
        <f>IF(OR(E56="",F56=""),"",MAX(INT(LISTS!$F$6/(E56+LISTS!$F$8))*INT(LISTS!$F$7/(F56+LISTS!$F$8)),INT(LISTS!$F$6/(F56+LISTS!$F$8))*INT(LISTS!$F$7/(E56+LISTS!$F$8))))</f>
        <v/>
      </c>
      <c r="P56" s="19">
        <f>IF(K56&lt;&gt;"",K56,IF(OR(O56="",O56=0),"",IF(H56="",1,H56)/O56))</f>
        <v/>
      </c>
      <c r="Q56" s="36">
        <f>IF(OR(K56&lt;&gt;"",P56=""),"",1-(IF(H56="",1,H56)*E56*F56)/(ROUNDUP(P56,0)*LISTS!$F$6*LISTS!$F$7))</f>
        <v/>
      </c>
      <c r="R56" s="14">
        <f>IF(AND(E56="",K56=""),"",IF(B56="","panel type?",IF(AND(K56="",O56=0),"panel bigger than sheet",IF(AND(G56&lt;&gt;"",IFERROR(VALUE(MID(B56,5,FIND("-",B56,5)-5)),0)&lt;&gt;G56),"T must match panel type",IF(I56="","exposed faces?","OK")))))</f>
        <v/>
      </c>
      <c r="S56" s="12">
        <f t="array" ref="S56">IF(OR(B56="",P56=""),"",IFERROR(INDEX(RATES!$C:$C,MATCH(B56,RATES!$A:$A,0)),"rate?"))</f>
        <v/>
      </c>
      <c r="T56" s="12">
        <f>IF(ISNUMBER(S56),IF(K56&lt;&gt;"",K56,IF(Q56&gt;RATES!$C$97,P56*(1+RATES!$C$98),ROUNDUP(P56,0)))*S56,"")</f>
        <v/>
      </c>
    </row>
    <row r="57" ht="15.75" customHeight="1" s="59">
      <c r="A57" s="9" t="n">
        <v>12</v>
      </c>
      <c r="B57" s="10" t="n"/>
      <c r="C57" s="48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25">
        <f>IF(OR(E57="",F57="",G57=""),"",E57*F57*G57/1000000000*IF(H57="",1,H57))</f>
        <v/>
      </c>
      <c r="N57" s="19">
        <f>IF(OR(E57="",F57=""),"",E57*F57/1000000*IF(H57="",1,H57))</f>
        <v/>
      </c>
      <c r="O57" s="14">
        <f>IF(OR(E57="",F57=""),"",MAX(INT(LISTS!$F$6/(E57+LISTS!$F$8))*INT(LISTS!$F$7/(F57+LISTS!$F$8)),INT(LISTS!$F$6/(F57+LISTS!$F$8))*INT(LISTS!$F$7/(E57+LISTS!$F$8))))</f>
        <v/>
      </c>
      <c r="P57" s="19">
        <f>IF(K57&lt;&gt;"",K57,IF(OR(O57="",O57=0),"",IF(H57="",1,H57)/O57))</f>
        <v/>
      </c>
      <c r="Q57" s="36">
        <f>IF(OR(K57&lt;&gt;"",P57=""),"",1-(IF(H57="",1,H57)*E57*F57)/(ROUNDUP(P57,0)*LISTS!$F$6*LISTS!$F$7))</f>
        <v/>
      </c>
      <c r="R57" s="14">
        <f>IF(AND(E57="",K57=""),"",IF(B57="","panel type?",IF(AND(K57="",O57=0),"panel bigger than sheet",IF(AND(G57&lt;&gt;"",IFERROR(VALUE(MID(B57,5,FIND("-",B57,5)-5)),0)&lt;&gt;G57),"T must match panel type",IF(I57="","exposed faces?","OK")))))</f>
        <v/>
      </c>
      <c r="S57" s="12">
        <f t="array" ref="S57">IF(OR(B57="",P57=""),"",IFERROR(INDEX(RATES!$C:$C,MATCH(B57,RATES!$A:$A,0)),"rate?"))</f>
        <v/>
      </c>
      <c r="T57" s="12">
        <f>IF(ISNUMBER(S57),IF(K57&lt;&gt;"",K57,IF(Q57&gt;RATES!$C$97,P57*(1+RATES!$C$98),ROUNDUP(P57,0)))*S57,"")</f>
        <v/>
      </c>
    </row>
    <row r="58" ht="15.75" customHeight="1" s="59">
      <c r="A58" s="9" t="n">
        <v>13</v>
      </c>
      <c r="B58" s="10" t="n"/>
      <c r="C58" s="48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25">
        <f>IF(OR(E58="",F58="",G58=""),"",E58*F58*G58/1000000000*IF(H58="",1,H58))</f>
        <v/>
      </c>
      <c r="N58" s="19">
        <f>IF(OR(E58="",F58=""),"",E58*F58/1000000*IF(H58="",1,H58))</f>
        <v/>
      </c>
      <c r="O58" s="14">
        <f>IF(OR(E58="",F58=""),"",MAX(INT(LISTS!$F$6/(E58+LISTS!$F$8))*INT(LISTS!$F$7/(F58+LISTS!$F$8)),INT(LISTS!$F$6/(F58+LISTS!$F$8))*INT(LISTS!$F$7/(E58+LISTS!$F$8))))</f>
        <v/>
      </c>
      <c r="P58" s="19">
        <f>IF(K58&lt;&gt;"",K58,IF(OR(O58="",O58=0),"",IF(H58="",1,H58)/O58))</f>
        <v/>
      </c>
      <c r="Q58" s="36">
        <f>IF(OR(K58&lt;&gt;"",P58=""),"",1-(IF(H58="",1,H58)*E58*F58)/(ROUNDUP(P58,0)*LISTS!$F$6*LISTS!$F$7))</f>
        <v/>
      </c>
      <c r="R58" s="14">
        <f>IF(AND(E58="",K58=""),"",IF(B58="","panel type?",IF(AND(K58="",O58=0),"panel bigger than sheet",IF(AND(G58&lt;&gt;"",IFERROR(VALUE(MID(B58,5,FIND("-",B58,5)-5)),0)&lt;&gt;G58),"T must match panel type",IF(I58="","exposed faces?","OK")))))</f>
        <v/>
      </c>
      <c r="S58" s="12">
        <f t="array" ref="S58">IF(OR(B58="",P58=""),"",IFERROR(INDEX(RATES!$C:$C,MATCH(B58,RATES!$A:$A,0)),"rate?"))</f>
        <v/>
      </c>
      <c r="T58" s="12">
        <f>IF(ISNUMBER(S58),IF(K58&lt;&gt;"",K58,IF(Q58&gt;RATES!$C$97,P58*(1+RATES!$C$98),ROUNDUP(P58,0)))*S58,"")</f>
        <v/>
      </c>
    </row>
    <row r="59" ht="15.75" customHeight="1" s="59">
      <c r="A59" s="9" t="n">
        <v>14</v>
      </c>
      <c r="B59" s="10" t="n"/>
      <c r="C59" s="48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25">
        <f>IF(OR(E59="",F59="",G59=""),"",E59*F59*G59/1000000000*IF(H59="",1,H59))</f>
        <v/>
      </c>
      <c r="N59" s="19">
        <f>IF(OR(E59="",F59=""),"",E59*F59/1000000*IF(H59="",1,H59))</f>
        <v/>
      </c>
      <c r="O59" s="14">
        <f>IF(OR(E59="",F59=""),"",MAX(INT(LISTS!$F$6/(E59+LISTS!$F$8))*INT(LISTS!$F$7/(F59+LISTS!$F$8)),INT(LISTS!$F$6/(F59+LISTS!$F$8))*INT(LISTS!$F$7/(E59+LISTS!$F$8))))</f>
        <v/>
      </c>
      <c r="P59" s="19">
        <f>IF(K59&lt;&gt;"",K59,IF(OR(O59="",O59=0),"",IF(H59="",1,H59)/O59))</f>
        <v/>
      </c>
      <c r="Q59" s="36">
        <f>IF(OR(K59&lt;&gt;"",P59=""),"",1-(IF(H59="",1,H59)*E59*F59)/(ROUNDUP(P59,0)*LISTS!$F$6*LISTS!$F$7))</f>
        <v/>
      </c>
      <c r="R59" s="14">
        <f>IF(AND(E59="",K59=""),"",IF(B59="","panel type?",IF(AND(K59="",O59=0),"panel bigger than sheet",IF(AND(G59&lt;&gt;"",IFERROR(VALUE(MID(B59,5,FIND("-",B59,5)-5)),0)&lt;&gt;G59),"T must match panel type",IF(I59="","exposed faces?","OK")))))</f>
        <v/>
      </c>
      <c r="S59" s="12">
        <f t="array" ref="S59">IF(OR(B59="",P59=""),"",IFERROR(INDEX(RATES!$C:$C,MATCH(B59,RATES!$A:$A,0)),"rate?"))</f>
        <v/>
      </c>
      <c r="T59" s="12">
        <f>IF(ISNUMBER(S59),IF(K59&lt;&gt;"",K59,IF(Q59&gt;RATES!$C$97,P59*(1+RATES!$C$98),ROUNDUP(P59,0)))*S59,"")</f>
        <v/>
      </c>
    </row>
    <row r="60" ht="15.75" customHeight="1" s="59">
      <c r="A60" s="9" t="n">
        <v>15</v>
      </c>
      <c r="B60" s="10" t="n"/>
      <c r="C60" s="48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25">
        <f>IF(OR(E60="",F60="",G60=""),"",E60*F60*G60/1000000000*IF(H60="",1,H60))</f>
        <v/>
      </c>
      <c r="N60" s="19">
        <f>IF(OR(E60="",F60=""),"",E60*F60/1000000*IF(H60="",1,H60))</f>
        <v/>
      </c>
      <c r="O60" s="14">
        <f>IF(OR(E60="",F60=""),"",MAX(INT(LISTS!$F$6/(E60+LISTS!$F$8))*INT(LISTS!$F$7/(F60+LISTS!$F$8)),INT(LISTS!$F$6/(F60+LISTS!$F$8))*INT(LISTS!$F$7/(E60+LISTS!$F$8))))</f>
        <v/>
      </c>
      <c r="P60" s="19">
        <f>IF(K60&lt;&gt;"",K60,IF(OR(O60="",O60=0),"",IF(H60="",1,H60)/O60))</f>
        <v/>
      </c>
      <c r="Q60" s="36">
        <f>IF(OR(K60&lt;&gt;"",P60=""),"",1-(IF(H60="",1,H60)*E60*F60)/(ROUNDUP(P60,0)*LISTS!$F$6*LISTS!$F$7))</f>
        <v/>
      </c>
      <c r="R60" s="14">
        <f>IF(AND(E60="",K60=""),"",IF(B60="","panel type?",IF(AND(K60="",O60=0),"panel bigger than sheet",IF(AND(G60&lt;&gt;"",IFERROR(VALUE(MID(B60,5,FIND("-",B60,5)-5)),0)&lt;&gt;G60),"T must match panel type",IF(I60="","exposed faces?","OK")))))</f>
        <v/>
      </c>
      <c r="S60" s="12">
        <f t="array" ref="S60">IF(OR(B60="",P60=""),"",IFERROR(INDEX(RATES!$C:$C,MATCH(B60,RATES!$A:$A,0)),"rate?"))</f>
        <v/>
      </c>
      <c r="T60" s="12">
        <f>IF(ISNUMBER(S60),IF(K60&lt;&gt;"",K60,IF(Q60&gt;RATES!$C$97,P60*(1+RATES!$C$98),ROUNDUP(P60,0)))*S60,"")</f>
        <v/>
      </c>
    </row>
    <row r="61" ht="15.75" customHeight="1" s="59"/>
    <row r="62" ht="15.75" customHeight="1" s="59">
      <c r="A62" s="5" t="inlineStr">
        <is>
          <t>HARDWARE &amp; BOUGHT-IN: runners, hinges, handles, metal frames, rattan, glass, mirror, fabric, foam, outside labour. ENTER UNIT PRICE IDR.</t>
        </is>
      </c>
    </row>
    <row r="63" ht="31.5" customHeight="1" s="59">
      <c r="A63" s="8" t="inlineStr">
        <is>
          <t>NO</t>
        </is>
      </c>
      <c r="B63" s="8" t="inlineStr">
        <is>
          <t>ITEM MASTER CODE</t>
        </is>
      </c>
      <c r="C63" s="47" t="inlineStr">
        <is>
          <t>LABEL</t>
        </is>
      </c>
      <c r="D63" s="8" t="inlineStr">
        <is>
          <t>DESCRIPTION</t>
        </is>
      </c>
      <c r="E63" s="8" t="inlineStr">
        <is>
          <t>VENDOR</t>
        </is>
      </c>
      <c r="F63" s="8" t="n"/>
      <c r="G63" s="8" t="n"/>
      <c r="H63" s="8" t="inlineStr">
        <is>
          <t>QTY</t>
        </is>
      </c>
      <c r="I63" s="8" t="inlineStr">
        <is>
          <t>UOM</t>
        </is>
      </c>
      <c r="J63" s="8" t="n"/>
      <c r="K63" s="8" t="n"/>
      <c r="L63" s="8" t="inlineStr">
        <is>
          <t>LINK / NOTE</t>
        </is>
      </c>
      <c r="M63" s="8" t="n"/>
      <c r="N63" s="8" t="n"/>
      <c r="O63" s="8" t="n"/>
      <c r="P63" s="8" t="n"/>
      <c r="Q63" s="8" t="n"/>
      <c r="R63" s="8" t="n"/>
      <c r="S63" s="8" t="inlineStr">
        <is>
          <t>UNIT PRICE IDR</t>
        </is>
      </c>
      <c r="T63" s="8" t="inlineStr">
        <is>
          <t>LINE TOTAL (calc)</t>
        </is>
      </c>
    </row>
    <row r="64" ht="15.75" customHeight="1" s="59">
      <c r="A64" s="9" t="n">
        <v>1</v>
      </c>
      <c r="B64" s="10" t="inlineStr">
        <is>
          <t>HARDWARE</t>
        </is>
      </c>
      <c r="C64" s="48" t="inlineStr">
        <is>
          <t>D2 / DTC-14</t>
        </is>
      </c>
      <c r="D64" s="10" t="inlineStr">
        <is>
          <t>Rel laci DTC soft close 14" (356 mm)</t>
        </is>
      </c>
      <c r="E64" s="10" t="inlineStr">
        <is>
          <t>Sukey / DTC</t>
        </is>
      </c>
      <c r="F64" s="67" t="n"/>
      <c r="G64" s="68" t="n"/>
      <c r="H64" s="10" t="n">
        <v>6</v>
      </c>
      <c r="I64" s="10" t="inlineStr">
        <is>
          <t>set</t>
        </is>
      </c>
      <c r="J64" s="10" t="n"/>
      <c r="K64" s="10" t="n"/>
      <c r="L64" s="10" t="inlineStr">
        <is>
          <t>Part D2 / Code D2 | Rel laci DTC soft close 14"</t>
        </is>
      </c>
      <c r="M64" s="67" t="n"/>
      <c r="N64" s="67" t="n"/>
      <c r="O64" s="67" t="n"/>
      <c r="P64" s="67" t="n"/>
      <c r="Q64" s="67" t="n"/>
      <c r="R64" s="68" t="n"/>
      <c r="S64" s="37" t="n">
        <v>61396.2</v>
      </c>
      <c r="T64" s="38">
        <f>IF(OR(H64="",S64=""),"",H64*S64)</f>
        <v/>
      </c>
    </row>
    <row r="65" ht="15.75" customHeight="1" s="59">
      <c r="A65" s="9" t="n">
        <v>2</v>
      </c>
      <c r="B65" s="10" t="inlineStr">
        <is>
          <t>BOUGHT-IN</t>
        </is>
      </c>
      <c r="C65" s="48" t="inlineStr">
        <is>
          <t>ROTAN / SQ</t>
        </is>
      </c>
      <c r="D65" s="10" t="inlineStr">
        <is>
          <t>Anyaman Rotan Kotak Alami (Square Cane Mesh)</t>
        </is>
      </c>
      <c r="E65" s="10" t="inlineStr">
        <is>
          <t>Lokal</t>
        </is>
      </c>
      <c r="F65" s="67" t="n"/>
      <c r="G65" s="68" t="n"/>
      <c r="H65" s="10" t="n">
        <v>1.5</v>
      </c>
      <c r="I65" s="10" t="inlineStr">
        <is>
          <t>m lari</t>
        </is>
      </c>
      <c r="J65" s="10" t="n"/>
      <c r="K65" s="10" t="n"/>
      <c r="L65" s="10" t="inlineStr">
        <is>
          <t>Inlay Muka Laci | Anyaman Rotan Kotak Alami</t>
        </is>
      </c>
      <c r="M65" s="67" t="n"/>
      <c r="N65" s="67" t="n"/>
      <c r="O65" s="67" t="n"/>
      <c r="P65" s="67" t="n"/>
      <c r="Q65" s="67" t="n"/>
      <c r="R65" s="68" t="n"/>
      <c r="S65" s="37" t="n">
        <v>160000</v>
      </c>
      <c r="T65" s="38">
        <f>IF(OR(H65="",S65=""),"",H65*S65)</f>
        <v/>
      </c>
    </row>
    <row r="66" ht="15.75" customHeight="1" s="59">
      <c r="A66" s="9" t="n">
        <v>3</v>
      </c>
      <c r="B66" s="10" t="inlineStr">
        <is>
          <t>HARDWARE</t>
        </is>
      </c>
      <c r="C66" s="48" t="inlineStr">
        <is>
          <t>HNDL / 128MM</t>
        </is>
      </c>
      <c r="D66" s="10" t="inlineStr">
        <is>
          <t>Handle, solid brass / custom wood 128 mm</t>
        </is>
      </c>
      <c r="E66" s="10" t="inlineStr">
        <is>
          <t>Lokal</t>
        </is>
      </c>
      <c r="F66" s="67" t="n"/>
      <c r="G66" s="68" t="n"/>
      <c r="H66" s="10" t="n">
        <v>6</v>
      </c>
      <c r="I66" s="10" t="inlineStr">
        <is>
          <t>pcs</t>
        </is>
      </c>
      <c r="J66" s="10" t="n"/>
      <c r="K66" s="10" t="n"/>
      <c r="L66" s="10" t="inlineStr">
        <is>
          <t>Handle, solid brass / custom wood 128 mm</t>
        </is>
      </c>
      <c r="M66" s="67" t="n"/>
      <c r="N66" s="67" t="n"/>
      <c r="O66" s="67" t="n"/>
      <c r="P66" s="67" t="n"/>
      <c r="Q66" s="67" t="n"/>
      <c r="R66" s="68" t="n"/>
      <c r="S66" s="37" t="n">
        <v>25000</v>
      </c>
      <c r="T66" s="38">
        <f>IF(OR(H66="",S66=""),"",H66*S66)</f>
        <v/>
      </c>
    </row>
    <row r="67" ht="15.75" customHeight="1" s="59">
      <c r="A67" s="9" t="n">
        <v>4</v>
      </c>
      <c r="B67" s="10" t="inlineStr">
        <is>
          <t>HARDWARE</t>
        </is>
      </c>
      <c r="C67" s="48" t="inlineStr">
        <is>
          <t>GLIDES / 25MM</t>
        </is>
      </c>
      <c r="D67" s="10" t="inlineStr">
        <is>
          <t>Nylon glides 25 mm</t>
        </is>
      </c>
      <c r="E67" s="10" t="inlineStr">
        <is>
          <t>Lokal</t>
        </is>
      </c>
      <c r="F67" s="67" t="n"/>
      <c r="G67" s="68" t="n"/>
      <c r="H67" s="10" t="n">
        <v>6</v>
      </c>
      <c r="I67" s="10" t="inlineStr">
        <is>
          <t>pcs</t>
        </is>
      </c>
      <c r="J67" s="10" t="n"/>
      <c r="K67" s="10" t="n"/>
      <c r="L67" s="10" t="inlineStr">
        <is>
          <t>Nylon glides 25 mm</t>
        </is>
      </c>
      <c r="M67" s="67" t="n"/>
      <c r="N67" s="67" t="n"/>
      <c r="O67" s="67" t="n"/>
      <c r="P67" s="67" t="n"/>
      <c r="Q67" s="67" t="n"/>
      <c r="R67" s="68" t="n"/>
      <c r="S67" s="37" t="n">
        <v>3500</v>
      </c>
      <c r="T67" s="38">
        <f>IF(OR(H67="",S67=""),"",H67*S67)</f>
        <v/>
      </c>
    </row>
    <row r="68" ht="15.75" customHeight="1" s="59">
      <c r="A68" s="9" t="n">
        <v>5</v>
      </c>
      <c r="B68" s="10" t="n"/>
      <c r="C68" s="48" t="n"/>
      <c r="D68" s="10" t="n"/>
      <c r="E68" s="10" t="n"/>
      <c r="F68" s="67" t="n"/>
      <c r="G68" s="68" t="n"/>
      <c r="H68" s="10" t="n"/>
      <c r="I68" s="10" t="n"/>
      <c r="J68" s="10" t="n"/>
      <c r="K68" s="10" t="n"/>
      <c r="L68" s="10" t="n"/>
      <c r="M68" s="67" t="n"/>
      <c r="N68" s="67" t="n"/>
      <c r="O68" s="67" t="n"/>
      <c r="P68" s="67" t="n"/>
      <c r="Q68" s="67" t="n"/>
      <c r="R68" s="68" t="n"/>
      <c r="S68" s="37" t="n"/>
      <c r="T68" s="38">
        <f>IF(OR(H68="",S68=""),"",H68*S68)</f>
        <v/>
      </c>
    </row>
    <row r="69" ht="15.75" customHeight="1" s="59">
      <c r="A69" s="9" t="n">
        <v>6</v>
      </c>
      <c r="B69" s="10" t="n"/>
      <c r="C69" s="48" t="n"/>
      <c r="D69" s="10" t="n"/>
      <c r="E69" s="10" t="n"/>
      <c r="F69" s="67" t="n"/>
      <c r="G69" s="68" t="n"/>
      <c r="H69" s="10" t="n"/>
      <c r="I69" s="10" t="n"/>
      <c r="J69" s="10" t="n"/>
      <c r="K69" s="10" t="n"/>
      <c r="L69" s="10" t="n"/>
      <c r="M69" s="67" t="n"/>
      <c r="N69" s="67" t="n"/>
      <c r="O69" s="67" t="n"/>
      <c r="P69" s="67" t="n"/>
      <c r="Q69" s="67" t="n"/>
      <c r="R69" s="68" t="n"/>
      <c r="S69" s="37" t="n"/>
      <c r="T69" s="38">
        <f>IF(OR(H69="",S69=""),"",H69*S69)</f>
        <v/>
      </c>
    </row>
    <row r="70" ht="15.75" customHeight="1" s="59">
      <c r="A70" s="9" t="n">
        <v>7</v>
      </c>
      <c r="B70" s="10" t="n"/>
      <c r="C70" s="48" t="n"/>
      <c r="D70" s="10" t="n"/>
      <c r="E70" s="10" t="n"/>
      <c r="F70" s="67" t="n"/>
      <c r="G70" s="68" t="n"/>
      <c r="H70" s="10" t="n"/>
      <c r="I70" s="10" t="n"/>
      <c r="J70" s="10" t="n"/>
      <c r="K70" s="10" t="n"/>
      <c r="L70" s="10" t="n"/>
      <c r="M70" s="67" t="n"/>
      <c r="N70" s="67" t="n"/>
      <c r="O70" s="67" t="n"/>
      <c r="P70" s="67" t="n"/>
      <c r="Q70" s="67" t="n"/>
      <c r="R70" s="68" t="n"/>
      <c r="S70" s="37" t="n"/>
      <c r="T70" s="38">
        <f>IF(OR(H70="",S70=""),"",H70*S70)</f>
        <v/>
      </c>
    </row>
    <row r="71" ht="15.75" customHeight="1" s="59">
      <c r="A71" s="9" t="n">
        <v>8</v>
      </c>
      <c r="B71" s="10" t="n"/>
      <c r="C71" s="48" t="n"/>
      <c r="D71" s="10" t="n"/>
      <c r="E71" s="10" t="n"/>
      <c r="F71" s="67" t="n"/>
      <c r="G71" s="68" t="n"/>
      <c r="H71" s="10" t="n"/>
      <c r="I71" s="10" t="n"/>
      <c r="J71" s="10" t="n"/>
      <c r="K71" s="10" t="n"/>
      <c r="L71" s="10" t="n"/>
      <c r="M71" s="67" t="n"/>
      <c r="N71" s="67" t="n"/>
      <c r="O71" s="67" t="n"/>
      <c r="P71" s="67" t="n"/>
      <c r="Q71" s="67" t="n"/>
      <c r="R71" s="68" t="n"/>
      <c r="S71" s="37" t="n"/>
      <c r="T71" s="38">
        <f>IF(OR(H71="",S71=""),"",H71*S71)</f>
        <v/>
      </c>
    </row>
    <row r="72" ht="15.75" customHeight="1" s="59">
      <c r="A72" s="9" t="n">
        <v>9</v>
      </c>
      <c r="B72" s="10" t="n"/>
      <c r="C72" s="48" t="n"/>
      <c r="D72" s="10" t="n"/>
      <c r="E72" s="10" t="n"/>
      <c r="F72" s="67" t="n"/>
      <c r="G72" s="68" t="n"/>
      <c r="H72" s="10" t="n"/>
      <c r="I72" s="10" t="n"/>
      <c r="J72" s="10" t="n"/>
      <c r="K72" s="10" t="n"/>
      <c r="L72" s="10" t="n"/>
      <c r="M72" s="67" t="n"/>
      <c r="N72" s="67" t="n"/>
      <c r="O72" s="67" t="n"/>
      <c r="P72" s="67" t="n"/>
      <c r="Q72" s="67" t="n"/>
      <c r="R72" s="68" t="n"/>
      <c r="S72" s="37" t="n"/>
      <c r="T72" s="38">
        <f>IF(OR(H72="",S72=""),"",H72*S72)</f>
        <v/>
      </c>
    </row>
    <row r="73" ht="15.75" customHeight="1" s="59">
      <c r="A73" s="9" t="n">
        <v>10</v>
      </c>
      <c r="B73" s="10" t="n"/>
      <c r="C73" s="48" t="n"/>
      <c r="D73" s="10" t="n"/>
      <c r="E73" s="10" t="n"/>
      <c r="F73" s="67" t="n"/>
      <c r="G73" s="68" t="n"/>
      <c r="H73" s="10" t="n"/>
      <c r="I73" s="10" t="n"/>
      <c r="J73" s="10" t="n"/>
      <c r="K73" s="10" t="n"/>
      <c r="L73" s="10" t="n"/>
      <c r="M73" s="67" t="n"/>
      <c r="N73" s="67" t="n"/>
      <c r="O73" s="67" t="n"/>
      <c r="P73" s="67" t="n"/>
      <c r="Q73" s="67" t="n"/>
      <c r="R73" s="68" t="n"/>
      <c r="S73" s="37" t="n"/>
      <c r="T73" s="38">
        <f>IF(OR(H73="",S73=""),"",H73*S73)</f>
        <v/>
      </c>
    </row>
    <row r="74" ht="15.75" customHeight="1" s="59">
      <c r="A74" s="9" t="n">
        <v>11</v>
      </c>
      <c r="B74" s="10" t="n"/>
      <c r="C74" s="48" t="n"/>
      <c r="D74" s="10" t="n"/>
      <c r="E74" s="10" t="n"/>
      <c r="F74" s="67" t="n"/>
      <c r="G74" s="68" t="n"/>
      <c r="H74" s="10" t="n"/>
      <c r="I74" s="10" t="n"/>
      <c r="J74" s="10" t="n"/>
      <c r="K74" s="10" t="n"/>
      <c r="L74" s="10" t="n"/>
      <c r="M74" s="67" t="n"/>
      <c r="N74" s="67" t="n"/>
      <c r="O74" s="67" t="n"/>
      <c r="P74" s="67" t="n"/>
      <c r="Q74" s="67" t="n"/>
      <c r="R74" s="68" t="n"/>
      <c r="S74" s="37" t="n"/>
      <c r="T74" s="38">
        <f>IF(OR(H74="",S74=""),"",H74*S74)</f>
        <v/>
      </c>
    </row>
    <row r="75" ht="15.75" customHeight="1" s="59">
      <c r="A75" s="9" t="n">
        <v>12</v>
      </c>
      <c r="B75" s="10" t="n"/>
      <c r="C75" s="48" t="n"/>
      <c r="D75" s="10" t="n"/>
      <c r="E75" s="10" t="n"/>
      <c r="F75" s="67" t="n"/>
      <c r="G75" s="68" t="n"/>
      <c r="H75" s="10" t="n"/>
      <c r="I75" s="10" t="n"/>
      <c r="J75" s="10" t="n"/>
      <c r="K75" s="10" t="n"/>
      <c r="L75" s="10" t="n"/>
      <c r="M75" s="67" t="n"/>
      <c r="N75" s="67" t="n"/>
      <c r="O75" s="67" t="n"/>
      <c r="P75" s="67" t="n"/>
      <c r="Q75" s="67" t="n"/>
      <c r="R75" s="68" t="n"/>
      <c r="S75" s="37" t="n"/>
      <c r="T75" s="38">
        <f>IF(OR(H75="",S75=""),"",H75*S75)</f>
        <v/>
      </c>
    </row>
    <row r="76" ht="15.75" customHeight="1" s="59">
      <c r="A76" s="9" t="n">
        <v>13</v>
      </c>
      <c r="B76" s="10" t="n"/>
      <c r="C76" s="48" t="n"/>
      <c r="D76" s="10" t="n"/>
      <c r="E76" s="10" t="n"/>
      <c r="F76" s="67" t="n"/>
      <c r="G76" s="68" t="n"/>
      <c r="H76" s="10" t="n"/>
      <c r="I76" s="10" t="n"/>
      <c r="J76" s="10" t="n"/>
      <c r="K76" s="10" t="n"/>
      <c r="L76" s="10" t="n"/>
      <c r="M76" s="67" t="n"/>
      <c r="N76" s="67" t="n"/>
      <c r="O76" s="67" t="n"/>
      <c r="P76" s="67" t="n"/>
      <c r="Q76" s="67" t="n"/>
      <c r="R76" s="68" t="n"/>
      <c r="S76" s="37" t="n"/>
      <c r="T76" s="38">
        <f>IF(OR(H76="",S76=""),"",H76*S76)</f>
        <v/>
      </c>
    </row>
    <row r="77" ht="15.75" customHeight="1" s="59">
      <c r="A77" s="9" t="n">
        <v>14</v>
      </c>
      <c r="B77" s="10" t="n"/>
      <c r="C77" s="48" t="n"/>
      <c r="D77" s="10" t="n"/>
      <c r="E77" s="10" t="n"/>
      <c r="F77" s="67" t="n"/>
      <c r="G77" s="68" t="n"/>
      <c r="H77" s="10" t="n"/>
      <c r="I77" s="10" t="n"/>
      <c r="J77" s="10" t="n"/>
      <c r="K77" s="10" t="n"/>
      <c r="L77" s="10" t="n"/>
      <c r="M77" s="67" t="n"/>
      <c r="N77" s="67" t="n"/>
      <c r="O77" s="67" t="n"/>
      <c r="P77" s="67" t="n"/>
      <c r="Q77" s="67" t="n"/>
      <c r="R77" s="68" t="n"/>
      <c r="S77" s="37" t="n"/>
      <c r="T77" s="38">
        <f>IF(OR(H77="",S77=""),"",H77*S77)</f>
        <v/>
      </c>
    </row>
    <row r="78" ht="15.75" customHeight="1" s="59">
      <c r="A78" s="9" t="n">
        <v>15</v>
      </c>
      <c r="B78" s="10" t="n"/>
      <c r="C78" s="48" t="n"/>
      <c r="D78" s="10" t="n"/>
      <c r="E78" s="10" t="n"/>
      <c r="F78" s="67" t="n"/>
      <c r="G78" s="68" t="n"/>
      <c r="H78" s="10" t="n"/>
      <c r="I78" s="10" t="n"/>
      <c r="J78" s="10" t="n"/>
      <c r="K78" s="10" t="n"/>
      <c r="L78" s="10" t="n"/>
      <c r="M78" s="67" t="n"/>
      <c r="N78" s="67" t="n"/>
      <c r="O78" s="67" t="n"/>
      <c r="P78" s="67" t="n"/>
      <c r="Q78" s="67" t="n"/>
      <c r="R78" s="68" t="n"/>
      <c r="S78" s="37" t="n"/>
      <c r="T78" s="38">
        <f>IF(OR(H78="",S78=""),"",H78*S78)</f>
        <v/>
      </c>
    </row>
    <row r="79" ht="15.75" customHeight="1" s="59"/>
    <row r="80" ht="15.75" customHeight="1" s="59"/>
    <row r="81" ht="15.75" customHeight="1" s="59">
      <c r="A81" s="5" t="inlineStr">
        <is>
          <t>SUMMARY (system): cost per ONE item, from the RATES tab. Do not type here.</t>
        </is>
      </c>
    </row>
    <row r="82" ht="15.75" customHeight="1" s="59">
      <c r="C82" s="5" t="inlineStr">
        <is>
          <t>Solid wood m³</t>
        </is>
      </c>
      <c r="D82" s="25">
        <f>SUM(M18:M42)</f>
        <v/>
      </c>
    </row>
    <row r="83" ht="15.75" customHeight="1" s="59">
      <c r="C83" s="5" t="inlineStr">
        <is>
          <t>Panel sheets</t>
        </is>
      </c>
      <c r="D83" s="17">
        <f>SUM(P46:P60)</f>
        <v/>
      </c>
    </row>
    <row r="84" ht="15.75" customHeight="1" s="59">
      <c r="C84" s="5" t="inlineStr">
        <is>
          <t>Finishing m² (exposed)</t>
        </is>
      </c>
      <c r="D84" s="19">
        <f>SUMIF(I18:I42,"Y",N18:N42)+SUMIF(I46:I60,1,N46:N60)+2*SUMIF(I46:I60,2,N46:N60)</f>
        <v/>
      </c>
      <c r="F84" s="2" t="inlineStr">
        <is>
          <t>one face (L × W) per exposed solid component + exposed panel faces</t>
        </is>
      </c>
    </row>
    <row r="85" ht="15.75" customHeight="1" s="59">
      <c r="C85" s="5" t="inlineStr">
        <is>
          <t>Cartons</t>
        </is>
      </c>
      <c r="D85" s="39">
        <f>G15</f>
        <v/>
      </c>
    </row>
    <row r="86" ht="15.75" customHeight="1" s="59">
      <c r="C86" s="5" t="inlineStr">
        <is>
          <t>Carton m³</t>
        </is>
      </c>
      <c r="D86" s="19">
        <f>M15</f>
        <v/>
      </c>
    </row>
    <row r="87" ht="15.75" customHeight="1" s="59">
      <c r="C87" s="5" t="inlineStr">
        <is>
          <t>TIMBER</t>
        </is>
      </c>
      <c r="D87" s="12">
        <f>SUM(T18:T42)</f>
        <v/>
      </c>
      <c r="F87" s="2" t="inlineStr">
        <is>
          <t>Σ component m³ × tier rate (yield, processing and carpentry labour inside)</t>
        </is>
      </c>
    </row>
    <row r="88" ht="15.75" customHeight="1" s="59">
      <c r="C88" s="5" t="inlineStr">
        <is>
          <t>FASTENERS</t>
        </is>
      </c>
      <c r="D88" s="12">
        <f>D82*RATES!$C$46</f>
        <v/>
      </c>
      <c r="F88" s="2" t="inlineStr">
        <is>
          <t>solid wood m³ × FASTENERS</t>
        </is>
      </c>
    </row>
    <row r="89" ht="15.75" customHeight="1" s="59">
      <c r="C89" s="5" t="inlineStr">
        <is>
          <t>PANELS</t>
        </is>
      </c>
      <c r="D89" s="12">
        <f>SUM(T46:T60)</f>
        <v/>
      </c>
      <c r="F89" s="2" t="inlineStr">
        <is>
          <t>sheets charged × sheet rate (nested, or manual sheets)</t>
        </is>
      </c>
    </row>
    <row r="90" ht="15.75" customHeight="1" s="59">
      <c r="C90" s="5" t="inlineStr">
        <is>
          <t>FINISHING MATERIALS</t>
        </is>
      </c>
      <c r="D90" s="12">
        <f>D84*RATES!$C$47*IF($C$5="NONE (RAW)",0,1)</f>
        <v/>
      </c>
      <c r="F90" s="2" t="inlineStr">
        <is>
          <t>exposed m² × FIN_MAT (Zhanchen + thinner). All four finishing lines = 0 when FINISH RECIPE is NONE (RAW)</t>
        </is>
      </c>
    </row>
    <row r="91" ht="15.75" customHeight="1" s="59">
      <c r="C91" s="5" t="inlineStr">
        <is>
          <t>SANDING MATERIALS</t>
        </is>
      </c>
      <c r="D91" s="12">
        <f>D84*RATES!$C$48*IF($C$5="NONE (RAW)",0,1)</f>
        <v/>
      </c>
      <c r="F91" s="2" t="inlineStr">
        <is>
          <t>exposed m² × SAND_MAT (abrasives)</t>
        </is>
      </c>
    </row>
    <row r="92" ht="15.75" customHeight="1" s="59">
      <c r="C92" s="5" t="inlineStr">
        <is>
          <t>SANDING LABOUR</t>
        </is>
      </c>
      <c r="D92" s="12">
        <f>D84*RATES!$C$49*IF($C$5="NONE (RAW)",0,1)</f>
        <v/>
      </c>
      <c r="F92" s="2" t="inlineStr">
        <is>
          <t>exposed m² × SAND_LAB</t>
        </is>
      </c>
    </row>
    <row r="93" ht="15.75" customHeight="1" s="59">
      <c r="C93" s="5" t="inlineStr">
        <is>
          <t>FINISHING LABOUR</t>
        </is>
      </c>
      <c r="D93" s="12">
        <f>D84*RATES!$C$50*IF($C$5="NONE (RAW)",0,1)</f>
        <v/>
      </c>
      <c r="F93" s="2" t="inlineStr">
        <is>
          <t>exposed m² × FIN_LAB</t>
        </is>
      </c>
    </row>
    <row r="94" ht="15.75" customHeight="1" s="59">
      <c r="C94" s="5" t="inlineStr">
        <is>
          <t>HARDWARE</t>
        </is>
      </c>
      <c r="D94" s="12">
        <f>SUM(T64:T78)</f>
        <v/>
      </c>
      <c r="F94" s="2" t="inlineStr">
        <is>
          <t>Σ hardware &amp; bought-in lines (qty × unit price entered by the team)</t>
        </is>
      </c>
    </row>
    <row r="95" ht="15.75" customHeight="1" s="59">
      <c r="C95" s="5" t="inlineStr">
        <is>
          <t>PACKING</t>
        </is>
      </c>
      <c r="D95" s="12">
        <f>IF(L15=0,0,IF(L15&lt;RATES!$C$95,RATES!$C$53*G15,L15*RATES!$C$51*(1+IF(G15&gt;1,RATES!$C$96,0)))+M15*RATES!$C$52)</f>
        <v/>
      </c>
      <c r="F95" s="2" t="inlineStr">
        <is>
          <t>carton m² × CARTON_M2 + carton m³ × PACK_LAB</t>
        </is>
      </c>
    </row>
    <row r="96" ht="15.75" customHeight="1" s="59">
      <c r="C96" s="5" t="inlineStr">
        <is>
          <t>DIRECT COST</t>
        </is>
      </c>
      <c r="D96" s="16">
        <f>SUM(D87:D95)</f>
        <v/>
      </c>
    </row>
    <row r="97" ht="15.75" customHeight="1" s="59">
      <c r="C97" s="5" t="inlineStr">
        <is>
          <t>MISC 5%</t>
        </is>
      </c>
      <c r="D97" s="12">
        <f>D96*RATES!$C$54</f>
        <v/>
      </c>
      <c r="F97" s="2" t="inlineStr">
        <is>
          <t>direct × MISC_PCT</t>
        </is>
      </c>
    </row>
    <row r="98" ht="15.75" customHeight="1" s="59">
      <c r="C98" s="5" t="inlineStr">
        <is>
          <t>OVERHEAD</t>
        </is>
      </c>
      <c r="D98" s="12">
        <f>(D96+D97)*RATES!$C$55</f>
        <v/>
      </c>
      <c r="F98" s="2" t="inlineStr">
        <is>
          <t>(direct + misc) × OH_PCT</t>
        </is>
      </c>
    </row>
    <row r="99" ht="15.75" customHeight="1" s="59">
      <c r="C99" s="5" t="inlineStr">
        <is>
          <t>UNIT COST IDR</t>
        </is>
      </c>
      <c r="D99" s="16">
        <f>D96+D97+D98</f>
        <v/>
      </c>
    </row>
    <row r="100" ht="15.75" customHeight="1" s="59">
      <c r="C100" s="5" t="inlineStr">
        <is>
          <t>Carton board m² (6 sides)</t>
        </is>
      </c>
      <c r="D100" s="19">
        <f>L15</f>
        <v/>
      </c>
    </row>
    <row r="101" ht="15.75" customHeight="1" s="59">
      <c r="C101" s="5" t="inlineStr">
        <is>
          <t>ORDER QTY × UNIT COST</t>
        </is>
      </c>
      <c r="D101" s="16">
        <f>IF(ISNUMBER(C4),C4,0)*D99</f>
        <v/>
      </c>
    </row>
    <row r="102" ht="15.75" customHeight="1" s="59">
      <c r="C102" s="5" t="inlineStr">
        <is>
          <t>Open input checks</t>
        </is>
      </c>
      <c r="D102" s="40">
        <f>COUNTIF(R18:R42,"?*")-COUNTIF(R18:R42,"OK")+COUNTIF(R46:R60,"?*")-COUNTIF(R46:R60,"OK")+COUNTIF(S18:S60,"rate?")</f>
        <v/>
      </c>
      <c r="F102" s="2" t="inlineStr">
        <is>
          <t>must be 0 before the item counts as costed (see CHECK column)</t>
        </is>
      </c>
    </row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mergeCells count="57">
    <mergeCell ref="D2:F2"/>
    <mergeCell ref="L69:R69"/>
    <mergeCell ref="G2:K2"/>
    <mergeCell ref="E69:G69"/>
    <mergeCell ref="E65:G65"/>
    <mergeCell ref="E78:G78"/>
    <mergeCell ref="L72:R72"/>
    <mergeCell ref="E74:G74"/>
    <mergeCell ref="A1:B1"/>
    <mergeCell ref="D7:F7"/>
    <mergeCell ref="A6:B6"/>
    <mergeCell ref="B12:C12"/>
    <mergeCell ref="E77:G77"/>
    <mergeCell ref="L65:R65"/>
    <mergeCell ref="G7:K7"/>
    <mergeCell ref="A7:B7"/>
    <mergeCell ref="B11:C11"/>
    <mergeCell ref="L77:R77"/>
    <mergeCell ref="L70:R70"/>
    <mergeCell ref="D4:F4"/>
    <mergeCell ref="D3:F3"/>
    <mergeCell ref="E70:G70"/>
    <mergeCell ref="B14:C14"/>
    <mergeCell ref="L67:R67"/>
    <mergeCell ref="G6:K6"/>
    <mergeCell ref="E76:G76"/>
    <mergeCell ref="A3:B3"/>
    <mergeCell ref="B13:C13"/>
    <mergeCell ref="L66:R66"/>
    <mergeCell ref="G3:K3"/>
    <mergeCell ref="E72:G72"/>
    <mergeCell ref="A2:B2"/>
    <mergeCell ref="L75:R75"/>
    <mergeCell ref="E66:G66"/>
    <mergeCell ref="L1:S8"/>
    <mergeCell ref="D5:F5"/>
    <mergeCell ref="E75:G75"/>
    <mergeCell ref="B10:C10"/>
    <mergeCell ref="A5:B5"/>
    <mergeCell ref="L78:R78"/>
    <mergeCell ref="G5:K5"/>
    <mergeCell ref="L68:R68"/>
    <mergeCell ref="E68:G68"/>
    <mergeCell ref="D1:F1"/>
    <mergeCell ref="G4:K4"/>
    <mergeCell ref="E71:G71"/>
    <mergeCell ref="L71:R71"/>
    <mergeCell ref="A4:B4"/>
    <mergeCell ref="L74:R74"/>
    <mergeCell ref="E67:G67"/>
    <mergeCell ref="G1:K1"/>
    <mergeCell ref="L64:R64"/>
    <mergeCell ref="E73:G73"/>
    <mergeCell ref="L73:R73"/>
    <mergeCell ref="E64:G64"/>
    <mergeCell ref="L76:R76"/>
    <mergeCell ref="D6:F6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PART
NUMBER</t>
        </is>
      </c>
      <c r="B1" t="inlineStr">
        <is>
          <t>NAME</t>
        </is>
      </c>
      <c r="C1" t="inlineStr">
        <is>
          <t>MATERIALS</t>
        </is>
      </c>
      <c r="F1" t="inlineStr">
        <is>
          <t>CODE</t>
        </is>
      </c>
      <c r="G1" t="inlineStr">
        <is>
          <t>MATERIAL</t>
        </is>
      </c>
      <c r="H1" t="inlineStr">
        <is>
          <t>THICKNESS mm</t>
        </is>
      </c>
      <c r="I1" t="inlineStr">
        <is>
          <t>VENEER</t>
        </is>
      </c>
      <c r="J1" t="inlineStr">
        <is>
          <t>DESCRIPTION</t>
        </is>
      </c>
    </row>
    <row r="2">
      <c r="A2" t="n">
        <v>1</v>
      </c>
      <c r="B2" t="inlineStr">
        <is>
          <t>BOTTOM STRETCHER FRONT / BACK</t>
        </is>
      </c>
      <c r="C2" t="inlineStr">
        <is>
          <t>A</t>
        </is>
      </c>
      <c r="E2" t="inlineStr">
        <is>
          <t>A</t>
        </is>
      </c>
      <c r="F2" t="inlineStr">
        <is>
          <t>A</t>
        </is>
      </c>
      <c r="G2" t="inlineStr">
        <is>
          <t>Solid wood</t>
        </is>
      </c>
      <c r="J2" t="inlineStr">
        <is>
          <t>Solid wood</t>
        </is>
      </c>
    </row>
    <row r="3">
      <c r="A3" t="n">
        <v>2</v>
      </c>
      <c r="B3" t="inlineStr">
        <is>
          <t>BOTTOM STRETCHER LEFT / RIGHT</t>
        </is>
      </c>
      <c r="C3" t="inlineStr">
        <is>
          <t>A</t>
        </is>
      </c>
      <c r="E3" t="inlineStr">
        <is>
          <t>A</t>
        </is>
      </c>
      <c r="F3" t="inlineStr">
        <is>
          <t>A1</t>
        </is>
      </c>
      <c r="G3" t="inlineStr">
        <is>
          <t>Solid wood laminated</t>
        </is>
      </c>
      <c r="J3" t="inlineStr">
        <is>
          <t>Solid wood laminated</t>
        </is>
      </c>
    </row>
    <row r="4">
      <c r="A4" t="n">
        <v>3</v>
      </c>
      <c r="B4" t="inlineStr">
        <is>
          <t>LEG (VERTICAL)</t>
        </is>
      </c>
      <c r="C4" t="inlineStr">
        <is>
          <t>A</t>
        </is>
      </c>
      <c r="E4" t="inlineStr">
        <is>
          <t>B</t>
        </is>
      </c>
      <c r="F4" t="inlineStr">
        <is>
          <t>B-3-0X</t>
        </is>
      </c>
      <c r="G4" t="inlineStr">
        <is>
          <t>Plywood</t>
        </is>
      </c>
      <c r="H4" t="n">
        <v>3</v>
      </c>
      <c r="I4" t="inlineStr">
        <is>
          <t>0X</t>
        </is>
      </c>
      <c r="J4" t="inlineStr">
        <is>
          <t>Plywood 3 mm, no veneer</t>
        </is>
      </c>
    </row>
    <row r="5">
      <c r="A5" t="n">
        <v>4</v>
      </c>
      <c r="B5" t="inlineStr">
        <is>
          <t>SHELFING</t>
        </is>
      </c>
      <c r="C5" t="inlineStr">
        <is>
          <t>-</t>
        </is>
      </c>
      <c r="E5" t="inlineStr">
        <is>
          <t>B</t>
        </is>
      </c>
      <c r="F5" t="inlineStr">
        <is>
          <t>B-3-1X</t>
        </is>
      </c>
      <c r="G5" t="inlineStr">
        <is>
          <t>Plywood</t>
        </is>
      </c>
      <c r="H5" t="n">
        <v>3</v>
      </c>
      <c r="I5" t="inlineStr">
        <is>
          <t>1X</t>
        </is>
      </c>
      <c r="J5" t="inlineStr">
        <is>
          <t>Plywood 3 mm, veneer 1 face</t>
        </is>
      </c>
    </row>
    <row r="6">
      <c r="A6" t="n">
        <v>5</v>
      </c>
      <c r="B6" t="inlineStr">
        <is>
          <t>DIVIDER</t>
        </is>
      </c>
      <c r="C6" t="inlineStr">
        <is>
          <t>B-9-0X</t>
        </is>
      </c>
      <c r="E6" t="inlineStr">
        <is>
          <t>B</t>
        </is>
      </c>
      <c r="F6" t="inlineStr">
        <is>
          <t>B-3-2X</t>
        </is>
      </c>
      <c r="G6" t="inlineStr">
        <is>
          <t>Plywood</t>
        </is>
      </c>
      <c r="H6" t="n">
        <v>3</v>
      </c>
      <c r="I6" t="inlineStr">
        <is>
          <t>2X</t>
        </is>
      </c>
      <c r="J6" t="inlineStr">
        <is>
          <t>Plywood 3 mm, veneer 2 faces</t>
        </is>
      </c>
    </row>
    <row r="7">
      <c r="A7" t="n">
        <v>6</v>
      </c>
      <c r="B7" t="inlineStr">
        <is>
          <t>FRONT DRAWER</t>
        </is>
      </c>
      <c r="C7" t="inlineStr">
        <is>
          <t>A</t>
        </is>
      </c>
      <c r="E7" t="inlineStr">
        <is>
          <t>B</t>
        </is>
      </c>
      <c r="F7" t="inlineStr">
        <is>
          <t>B-6-0X</t>
        </is>
      </c>
      <c r="G7" t="inlineStr">
        <is>
          <t>Plywood</t>
        </is>
      </c>
      <c r="H7" t="n">
        <v>6</v>
      </c>
      <c r="I7" t="inlineStr">
        <is>
          <t>0X</t>
        </is>
      </c>
      <c r="J7" t="inlineStr">
        <is>
          <t>Plywood 6 mm, no veneer</t>
        </is>
      </c>
    </row>
    <row r="8">
      <c r="A8" t="n">
        <v>7</v>
      </c>
      <c r="B8" t="inlineStr">
        <is>
          <t>INNER DRAWER</t>
        </is>
      </c>
      <c r="C8" t="inlineStr">
        <is>
          <t>B-6-1X</t>
        </is>
      </c>
      <c r="E8" t="inlineStr">
        <is>
          <t>B</t>
        </is>
      </c>
      <c r="F8" t="inlineStr">
        <is>
          <t>B-6-1X</t>
        </is>
      </c>
      <c r="G8" t="inlineStr">
        <is>
          <t>Plywood</t>
        </is>
      </c>
      <c r="H8" t="n">
        <v>6</v>
      </c>
      <c r="I8" t="inlineStr">
        <is>
          <t>1X</t>
        </is>
      </c>
      <c r="J8" t="inlineStr">
        <is>
          <t>Plywood 6 mm, veneer 1 face</t>
        </is>
      </c>
    </row>
    <row r="9">
      <c r="A9" t="n">
        <v>8</v>
      </c>
      <c r="B9" t="inlineStr">
        <is>
          <t>SIDE DRAWER</t>
        </is>
      </c>
      <c r="C9" t="inlineStr">
        <is>
          <t>B-12-0X</t>
        </is>
      </c>
      <c r="E9" t="inlineStr">
        <is>
          <t>B</t>
        </is>
      </c>
      <c r="F9" t="inlineStr">
        <is>
          <t>B-6-2X</t>
        </is>
      </c>
      <c r="G9" t="inlineStr">
        <is>
          <t>Plywood</t>
        </is>
      </c>
      <c r="H9" t="n">
        <v>6</v>
      </c>
      <c r="I9" t="inlineStr">
        <is>
          <t>2X</t>
        </is>
      </c>
      <c r="J9" t="inlineStr">
        <is>
          <t>Plywood 6 mm, veneer 2 faces</t>
        </is>
      </c>
    </row>
    <row r="10">
      <c r="A10" t="n">
        <v>9</v>
      </c>
      <c r="B10" t="inlineStr">
        <is>
          <t>BACK DRAWER</t>
        </is>
      </c>
      <c r="C10" t="inlineStr">
        <is>
          <t>B-12-0X</t>
        </is>
      </c>
      <c r="E10" t="inlineStr">
        <is>
          <t>B</t>
        </is>
      </c>
      <c r="F10" t="inlineStr">
        <is>
          <t>B-9-0X</t>
        </is>
      </c>
      <c r="G10" t="inlineStr">
        <is>
          <t>Plywood</t>
        </is>
      </c>
      <c r="H10" t="n">
        <v>9</v>
      </c>
      <c r="I10" t="inlineStr">
        <is>
          <t>0X</t>
        </is>
      </c>
      <c r="J10" t="inlineStr">
        <is>
          <t>Plywood 9 mm, no veneer</t>
        </is>
      </c>
    </row>
    <row r="11">
      <c r="A11" t="n">
        <v>10</v>
      </c>
      <c r="B11" t="inlineStr">
        <is>
          <t>BOTTOM DRAWER</t>
        </is>
      </c>
      <c r="C11" t="inlineStr">
        <is>
          <t>B-6-0X</t>
        </is>
      </c>
      <c r="E11" t="inlineStr">
        <is>
          <t>B</t>
        </is>
      </c>
      <c r="F11" t="inlineStr">
        <is>
          <t>B-9-1X</t>
        </is>
      </c>
      <c r="G11" t="inlineStr">
        <is>
          <t>Plywood</t>
        </is>
      </c>
      <c r="H11" t="n">
        <v>9</v>
      </c>
      <c r="I11" t="inlineStr">
        <is>
          <t>1X</t>
        </is>
      </c>
      <c r="J11" t="inlineStr">
        <is>
          <t>Plywood 9 mm, veneer 1 face</t>
        </is>
      </c>
    </row>
    <row r="12">
      <c r="A12" t="n">
        <v>11</v>
      </c>
      <c r="B12" t="inlineStr">
        <is>
          <t>DOOR PANEL</t>
        </is>
      </c>
      <c r="C12" t="inlineStr">
        <is>
          <t>-</t>
        </is>
      </c>
      <c r="E12" t="inlineStr">
        <is>
          <t>B</t>
        </is>
      </c>
      <c r="F12" t="inlineStr">
        <is>
          <t>B-9-2X</t>
        </is>
      </c>
      <c r="G12" t="inlineStr">
        <is>
          <t>Plywood</t>
        </is>
      </c>
      <c r="H12" t="n">
        <v>9</v>
      </c>
      <c r="I12" t="inlineStr">
        <is>
          <t>2X</t>
        </is>
      </c>
      <c r="J12" t="inlineStr">
        <is>
          <t>Plywood 9 mm, veneer 2 faces</t>
        </is>
      </c>
    </row>
    <row r="13">
      <c r="A13" t="n">
        <v>12</v>
      </c>
      <c r="B13" t="inlineStr">
        <is>
          <t>BACK PANEL</t>
        </is>
      </c>
      <c r="C13" t="inlineStr">
        <is>
          <t>B-9-0X</t>
        </is>
      </c>
      <c r="E13" t="inlineStr">
        <is>
          <t>B</t>
        </is>
      </c>
      <c r="F13" t="inlineStr">
        <is>
          <t>B-12-0X</t>
        </is>
      </c>
      <c r="G13" t="inlineStr">
        <is>
          <t>Plywood</t>
        </is>
      </c>
      <c r="H13" t="n">
        <v>12</v>
      </c>
      <c r="I13" t="inlineStr">
        <is>
          <t>0X</t>
        </is>
      </c>
      <c r="J13" t="inlineStr">
        <is>
          <t>Plywood 12 mm, no veneer</t>
        </is>
      </c>
    </row>
    <row r="14">
      <c r="A14" t="n">
        <v>13</v>
      </c>
      <c r="B14" t="inlineStr">
        <is>
          <t>SIDE PANEL</t>
        </is>
      </c>
      <c r="C14" t="inlineStr">
        <is>
          <t>B-12-1X</t>
        </is>
      </c>
      <c r="E14" t="inlineStr">
        <is>
          <t>B</t>
        </is>
      </c>
      <c r="F14" t="inlineStr">
        <is>
          <t>B-12-1X</t>
        </is>
      </c>
      <c r="G14" t="inlineStr">
        <is>
          <t>Plywood</t>
        </is>
      </c>
      <c r="H14" t="n">
        <v>12</v>
      </c>
      <c r="I14" t="inlineStr">
        <is>
          <t>1X</t>
        </is>
      </c>
      <c r="J14" t="inlineStr">
        <is>
          <t>Plywood 12 mm, veneer 1 face</t>
        </is>
      </c>
    </row>
    <row r="15">
      <c r="A15" t="n">
        <v>14</v>
      </c>
      <c r="B15" t="inlineStr">
        <is>
          <t>FRONT RAIL</t>
        </is>
      </c>
      <c r="C15" t="inlineStr">
        <is>
          <t>A</t>
        </is>
      </c>
      <c r="E15" t="inlineStr">
        <is>
          <t>B</t>
        </is>
      </c>
      <c r="F15" t="inlineStr">
        <is>
          <t>B-12-2X</t>
        </is>
      </c>
      <c r="G15" t="inlineStr">
        <is>
          <t>Plywood</t>
        </is>
      </c>
      <c r="H15" t="n">
        <v>12</v>
      </c>
      <c r="I15" t="inlineStr">
        <is>
          <t>2X</t>
        </is>
      </c>
      <c r="J15" t="inlineStr">
        <is>
          <t>Plywood 12 mm, veneer 2 faces</t>
        </is>
      </c>
    </row>
    <row r="16">
      <c r="A16" t="n">
        <v>15</v>
      </c>
      <c r="B16" t="inlineStr">
        <is>
          <t>SIDE RAIL</t>
        </is>
      </c>
      <c r="C16" t="inlineStr">
        <is>
          <t>A</t>
        </is>
      </c>
      <c r="E16" t="inlineStr">
        <is>
          <t>B</t>
        </is>
      </c>
      <c r="F16" t="inlineStr">
        <is>
          <t>B-15-0X</t>
        </is>
      </c>
      <c r="G16" t="inlineStr">
        <is>
          <t>Plywood</t>
        </is>
      </c>
      <c r="H16" t="n">
        <v>15</v>
      </c>
      <c r="I16" t="inlineStr">
        <is>
          <t>0X</t>
        </is>
      </c>
      <c r="J16" t="inlineStr">
        <is>
          <t>Plywood 15 mm, no veneer</t>
        </is>
      </c>
    </row>
    <row r="17">
      <c r="A17" t="n">
        <v>16</v>
      </c>
      <c r="B17" t="inlineStr">
        <is>
          <t>BACK RAIL</t>
        </is>
      </c>
      <c r="C17" t="inlineStr">
        <is>
          <t>A</t>
        </is>
      </c>
      <c r="E17" t="inlineStr">
        <is>
          <t>B</t>
        </is>
      </c>
      <c r="F17" t="inlineStr">
        <is>
          <t>B-15-1X</t>
        </is>
      </c>
      <c r="G17" t="inlineStr">
        <is>
          <t>Plywood</t>
        </is>
      </c>
      <c r="H17" t="n">
        <v>15</v>
      </c>
      <c r="I17" t="inlineStr">
        <is>
          <t>1X</t>
        </is>
      </c>
      <c r="J17" t="inlineStr">
        <is>
          <t>Plywood 15 mm, veneer 1 face</t>
        </is>
      </c>
    </row>
    <row r="18">
      <c r="A18" t="n">
        <v>17</v>
      </c>
      <c r="B18" t="inlineStr">
        <is>
          <t>VERTICAL SUPPORT</t>
        </is>
      </c>
      <c r="C18" t="inlineStr">
        <is>
          <t>A</t>
        </is>
      </c>
      <c r="E18" t="inlineStr">
        <is>
          <t>B</t>
        </is>
      </c>
      <c r="F18" t="inlineStr">
        <is>
          <t>B-15-2X</t>
        </is>
      </c>
      <c r="G18" t="inlineStr">
        <is>
          <t>Plywood</t>
        </is>
      </c>
      <c r="H18" t="n">
        <v>15</v>
      </c>
      <c r="I18" t="inlineStr">
        <is>
          <t>2X</t>
        </is>
      </c>
      <c r="J18" t="inlineStr">
        <is>
          <t>Plywood 15 mm, veneer 2 faces</t>
        </is>
      </c>
    </row>
    <row r="19">
      <c r="A19" t="n">
        <v>18</v>
      </c>
      <c r="B19" t="inlineStr">
        <is>
          <t>HORIZONTAL SUPPORT</t>
        </is>
      </c>
      <c r="C19" t="inlineStr">
        <is>
          <t>A / B-9-0X / B-18-0X</t>
        </is>
      </c>
      <c r="E19" t="inlineStr">
        <is>
          <t>B</t>
        </is>
      </c>
      <c r="F19" t="inlineStr">
        <is>
          <t>B-18-0X</t>
        </is>
      </c>
      <c r="G19" t="inlineStr">
        <is>
          <t>Plywood</t>
        </is>
      </c>
      <c r="H19" t="n">
        <v>18</v>
      </c>
      <c r="I19" t="inlineStr">
        <is>
          <t>0X</t>
        </is>
      </c>
      <c r="J19" t="inlineStr">
        <is>
          <t>Plywood 18 mm, no veneer</t>
        </is>
      </c>
    </row>
    <row r="20">
      <c r="A20" t="n">
        <v>19</v>
      </c>
      <c r="B20" t="inlineStr">
        <is>
          <t>TOP STRETCHER</t>
        </is>
      </c>
      <c r="C20" t="inlineStr">
        <is>
          <t>A</t>
        </is>
      </c>
      <c r="E20" t="inlineStr">
        <is>
          <t>B</t>
        </is>
      </c>
      <c r="F20" t="inlineStr">
        <is>
          <t>B-18-1X</t>
        </is>
      </c>
      <c r="G20" t="inlineStr">
        <is>
          <t>Plywood</t>
        </is>
      </c>
      <c r="H20" t="n">
        <v>18</v>
      </c>
      <c r="I20" t="inlineStr">
        <is>
          <t>1X</t>
        </is>
      </c>
      <c r="J20" t="inlineStr">
        <is>
          <t>Plywood 18 mm, veneer 1 face</t>
        </is>
      </c>
    </row>
    <row r="21">
      <c r="A21" t="n">
        <v>20</v>
      </c>
      <c r="B21" t="inlineStr">
        <is>
          <t>TOP PANEL</t>
        </is>
      </c>
      <c r="C21" t="inlineStr">
        <is>
          <t>B-18-1X</t>
        </is>
      </c>
      <c r="E21" t="inlineStr">
        <is>
          <t>B</t>
        </is>
      </c>
      <c r="F21" t="inlineStr">
        <is>
          <t>B-18-2X</t>
        </is>
      </c>
      <c r="G21" t="inlineStr">
        <is>
          <t>Plywood</t>
        </is>
      </c>
      <c r="H21" t="n">
        <v>18</v>
      </c>
      <c r="I21" t="inlineStr">
        <is>
          <t>2X</t>
        </is>
      </c>
      <c r="J21" t="inlineStr">
        <is>
          <t>Plywood 18 mm, veneer 2 faces</t>
        </is>
      </c>
    </row>
    <row r="22">
      <c r="E22" t="inlineStr">
        <is>
          <t>C</t>
        </is>
      </c>
      <c r="F22" t="inlineStr">
        <is>
          <t>C-3-0X</t>
        </is>
      </c>
      <c r="G22" t="inlineStr">
        <is>
          <t>MDF</t>
        </is>
      </c>
      <c r="H22" t="n">
        <v>3</v>
      </c>
      <c r="I22" t="inlineStr">
        <is>
          <t>0X</t>
        </is>
      </c>
      <c r="J22" t="inlineStr">
        <is>
          <t>MDF 3 mm, no veneer</t>
        </is>
      </c>
    </row>
    <row r="23">
      <c r="E23" t="inlineStr">
        <is>
          <t>C</t>
        </is>
      </c>
      <c r="F23" t="inlineStr">
        <is>
          <t>C-3-1X</t>
        </is>
      </c>
      <c r="G23" t="inlineStr">
        <is>
          <t>MDF</t>
        </is>
      </c>
      <c r="H23" t="n">
        <v>3</v>
      </c>
      <c r="I23" t="inlineStr">
        <is>
          <t>1X</t>
        </is>
      </c>
      <c r="J23" t="inlineStr">
        <is>
          <t>MDF 3 mm, veneer 1 face</t>
        </is>
      </c>
    </row>
    <row r="24">
      <c r="E24" t="inlineStr">
        <is>
          <t>C</t>
        </is>
      </c>
      <c r="F24" t="inlineStr">
        <is>
          <t>C-3-2X</t>
        </is>
      </c>
      <c r="G24" t="inlineStr">
        <is>
          <t>MDF</t>
        </is>
      </c>
      <c r="H24" t="n">
        <v>3</v>
      </c>
      <c r="I24" t="inlineStr">
        <is>
          <t>2X</t>
        </is>
      </c>
      <c r="J24" t="inlineStr">
        <is>
          <t>MDF 3 mm, veneer 2 faces</t>
        </is>
      </c>
    </row>
    <row r="25">
      <c r="E25" t="inlineStr">
        <is>
          <t>C</t>
        </is>
      </c>
      <c r="F25" t="inlineStr">
        <is>
          <t>C-6-0X</t>
        </is>
      </c>
      <c r="G25" t="inlineStr">
        <is>
          <t>MDF</t>
        </is>
      </c>
      <c r="H25" t="n">
        <v>6</v>
      </c>
      <c r="I25" t="inlineStr">
        <is>
          <t>0X</t>
        </is>
      </c>
      <c r="J25" t="inlineStr">
        <is>
          <t>MDF 6 mm, no veneer</t>
        </is>
      </c>
    </row>
    <row r="26">
      <c r="E26" t="inlineStr">
        <is>
          <t>C</t>
        </is>
      </c>
      <c r="F26" t="inlineStr">
        <is>
          <t>C-6-1X</t>
        </is>
      </c>
      <c r="G26" t="inlineStr">
        <is>
          <t>MDF</t>
        </is>
      </c>
      <c r="H26" t="n">
        <v>6</v>
      </c>
      <c r="I26" t="inlineStr">
        <is>
          <t>1X</t>
        </is>
      </c>
      <c r="J26" t="inlineStr">
        <is>
          <t>MDF 6 mm, veneer 1 face</t>
        </is>
      </c>
    </row>
    <row r="27">
      <c r="E27" t="inlineStr">
        <is>
          <t>C</t>
        </is>
      </c>
      <c r="F27" t="inlineStr">
        <is>
          <t>C-6-2X</t>
        </is>
      </c>
      <c r="G27" t="inlineStr">
        <is>
          <t>MDF</t>
        </is>
      </c>
      <c r="H27" t="n">
        <v>6</v>
      </c>
      <c r="I27" t="inlineStr">
        <is>
          <t>2X</t>
        </is>
      </c>
      <c r="J27" t="inlineStr">
        <is>
          <t>MDF 6 mm, veneer 2 faces</t>
        </is>
      </c>
    </row>
    <row r="28">
      <c r="E28" t="inlineStr">
        <is>
          <t>C</t>
        </is>
      </c>
      <c r="F28" t="inlineStr">
        <is>
          <t>C-9-0X</t>
        </is>
      </c>
      <c r="G28" t="inlineStr">
        <is>
          <t>MDF</t>
        </is>
      </c>
      <c r="H28" t="n">
        <v>9</v>
      </c>
      <c r="I28" t="inlineStr">
        <is>
          <t>0X</t>
        </is>
      </c>
      <c r="J28" t="inlineStr">
        <is>
          <t>MDF 9 mm, no veneer</t>
        </is>
      </c>
    </row>
    <row r="29">
      <c r="E29" t="inlineStr">
        <is>
          <t>C</t>
        </is>
      </c>
      <c r="F29" t="inlineStr">
        <is>
          <t>C-9-1X</t>
        </is>
      </c>
      <c r="G29" t="inlineStr">
        <is>
          <t>MDF</t>
        </is>
      </c>
      <c r="H29" t="n">
        <v>9</v>
      </c>
      <c r="I29" t="inlineStr">
        <is>
          <t>1X</t>
        </is>
      </c>
      <c r="J29" t="inlineStr">
        <is>
          <t>MDF 9 mm, veneer 1 face</t>
        </is>
      </c>
    </row>
    <row r="30">
      <c r="E30" t="inlineStr">
        <is>
          <t>C</t>
        </is>
      </c>
      <c r="F30" t="inlineStr">
        <is>
          <t>C-9-2X</t>
        </is>
      </c>
      <c r="G30" t="inlineStr">
        <is>
          <t>MDF</t>
        </is>
      </c>
      <c r="H30" t="n">
        <v>9</v>
      </c>
      <c r="I30" t="inlineStr">
        <is>
          <t>2X</t>
        </is>
      </c>
      <c r="J30" t="inlineStr">
        <is>
          <t>MDF 9 mm, veneer 2 faces</t>
        </is>
      </c>
    </row>
    <row r="31">
      <c r="E31" t="inlineStr">
        <is>
          <t>C</t>
        </is>
      </c>
      <c r="F31" t="inlineStr">
        <is>
          <t>C-12-0X</t>
        </is>
      </c>
      <c r="G31" t="inlineStr">
        <is>
          <t>MDF</t>
        </is>
      </c>
      <c r="H31" t="n">
        <v>12</v>
      </c>
      <c r="I31" t="inlineStr">
        <is>
          <t>0X</t>
        </is>
      </c>
      <c r="J31" t="inlineStr">
        <is>
          <t>MDF 12 mm, no veneer</t>
        </is>
      </c>
    </row>
    <row r="32">
      <c r="E32" t="inlineStr">
        <is>
          <t>C</t>
        </is>
      </c>
      <c r="F32" t="inlineStr">
        <is>
          <t>C-12-1X</t>
        </is>
      </c>
      <c r="G32" t="inlineStr">
        <is>
          <t>MDF</t>
        </is>
      </c>
      <c r="H32" t="n">
        <v>12</v>
      </c>
      <c r="I32" t="inlineStr">
        <is>
          <t>1X</t>
        </is>
      </c>
      <c r="J32" t="inlineStr">
        <is>
          <t>MDF 12 mm, veneer 1 face</t>
        </is>
      </c>
    </row>
    <row r="33">
      <c r="E33" t="inlineStr">
        <is>
          <t>C</t>
        </is>
      </c>
      <c r="F33" t="inlineStr">
        <is>
          <t>C-12-2X</t>
        </is>
      </c>
      <c r="G33" t="inlineStr">
        <is>
          <t>MDF</t>
        </is>
      </c>
      <c r="H33" t="n">
        <v>12</v>
      </c>
      <c r="I33" t="inlineStr">
        <is>
          <t>2X</t>
        </is>
      </c>
      <c r="J33" t="inlineStr">
        <is>
          <t>MDF 12 mm, veneer 2 faces</t>
        </is>
      </c>
    </row>
    <row r="34">
      <c r="E34" t="inlineStr">
        <is>
          <t>C</t>
        </is>
      </c>
      <c r="F34" t="inlineStr">
        <is>
          <t>C-15-0X</t>
        </is>
      </c>
      <c r="G34" t="inlineStr">
        <is>
          <t>MDF</t>
        </is>
      </c>
      <c r="H34" t="n">
        <v>15</v>
      </c>
      <c r="I34" t="inlineStr">
        <is>
          <t>0X</t>
        </is>
      </c>
      <c r="J34" t="inlineStr">
        <is>
          <t>MDF 15 mm, no veneer</t>
        </is>
      </c>
    </row>
    <row r="35">
      <c r="E35" t="inlineStr">
        <is>
          <t>C</t>
        </is>
      </c>
      <c r="F35" t="inlineStr">
        <is>
          <t>C-15-1X</t>
        </is>
      </c>
      <c r="G35" t="inlineStr">
        <is>
          <t>MDF</t>
        </is>
      </c>
      <c r="H35" t="n">
        <v>15</v>
      </c>
      <c r="I35" t="inlineStr">
        <is>
          <t>1X</t>
        </is>
      </c>
      <c r="J35" t="inlineStr">
        <is>
          <t>MDF 15 mm, veneer 1 face</t>
        </is>
      </c>
    </row>
    <row r="36">
      <c r="E36" t="inlineStr">
        <is>
          <t>C</t>
        </is>
      </c>
      <c r="F36" t="inlineStr">
        <is>
          <t>C-15-2X</t>
        </is>
      </c>
      <c r="G36" t="inlineStr">
        <is>
          <t>MDF</t>
        </is>
      </c>
      <c r="H36" t="n">
        <v>15</v>
      </c>
      <c r="I36" t="inlineStr">
        <is>
          <t>2X</t>
        </is>
      </c>
      <c r="J36" t="inlineStr">
        <is>
          <t>MDF 15 mm, veneer 2 faces</t>
        </is>
      </c>
    </row>
    <row r="37">
      <c r="E37" t="inlineStr">
        <is>
          <t>C</t>
        </is>
      </c>
      <c r="F37" t="inlineStr">
        <is>
          <t>C-18-0X</t>
        </is>
      </c>
      <c r="G37" t="inlineStr">
        <is>
          <t>MDF</t>
        </is>
      </c>
      <c r="H37" t="n">
        <v>18</v>
      </c>
      <c r="I37" t="inlineStr">
        <is>
          <t>0X</t>
        </is>
      </c>
      <c r="J37" t="inlineStr">
        <is>
          <t>MDF 18 mm, no veneer</t>
        </is>
      </c>
    </row>
    <row r="38">
      <c r="E38" t="inlineStr">
        <is>
          <t>C</t>
        </is>
      </c>
      <c r="F38" t="inlineStr">
        <is>
          <t>C-18-1X</t>
        </is>
      </c>
      <c r="G38" t="inlineStr">
        <is>
          <t>MDF</t>
        </is>
      </c>
      <c r="H38" t="n">
        <v>18</v>
      </c>
      <c r="I38" t="inlineStr">
        <is>
          <t>1X</t>
        </is>
      </c>
      <c r="J38" t="inlineStr">
        <is>
          <t>MDF 18 mm, veneer 1 face</t>
        </is>
      </c>
    </row>
    <row r="39">
      <c r="E39" t="inlineStr">
        <is>
          <t>C</t>
        </is>
      </c>
      <c r="F39" t="inlineStr">
        <is>
          <t>C-18-2X</t>
        </is>
      </c>
      <c r="G39" t="inlineStr">
        <is>
          <t>MDF</t>
        </is>
      </c>
      <c r="H39" t="n">
        <v>18</v>
      </c>
      <c r="I39" t="inlineStr">
        <is>
          <t>2X</t>
        </is>
      </c>
      <c r="J39" t="inlineStr">
        <is>
          <t>MDF 18 mm, veneer 2 faces</t>
        </is>
      </c>
    </row>
    <row r="40">
      <c r="E40" t="inlineStr">
        <is>
          <t>D</t>
        </is>
      </c>
      <c r="F40" t="inlineStr">
        <is>
          <t>D1</t>
        </is>
      </c>
      <c r="G40" t="inlineStr">
        <is>
          <t>Hardware</t>
        </is>
      </c>
      <c r="J40" t="inlineStr">
        <is>
          <t>Soft close hinge DTC</t>
        </is>
      </c>
    </row>
    <row r="41">
      <c r="E41" t="inlineStr">
        <is>
          <t>D</t>
        </is>
      </c>
      <c r="F41" t="inlineStr">
        <is>
          <t>D2</t>
        </is>
      </c>
      <c r="G41" t="inlineStr">
        <is>
          <t>Hardware</t>
        </is>
      </c>
      <c r="J41" t="inlineStr">
        <is>
          <t>Drawer rail DTC (size follows drawer box side depth)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 RIZKY</dc:creator>
  <dcterms:created xsi:type="dcterms:W3CDTF">2026-10-09T16:14:21Z</dcterms:created>
  <dcterms:modified xsi:type="dcterms:W3CDTF">2026-10-14T07:39:42Z</dcterms:modified>
  <cp:lastModifiedBy>Rizky</cp:lastModifiedBy>
</cp:coreProperties>
</file>
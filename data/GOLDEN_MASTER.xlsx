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19">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s>
  <fills count="9">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s>
  <borders count="19">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16"/>
  </cellStyleXfs>
  <cellXfs count="92">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J257"/>
  <sheetViews>
    <sheetView workbookViewId="0">
      <selection activeCell="A1" sqref="A1"/>
    </sheetView>
  </sheetViews>
  <sheetFormatPr baseColWidth="8" defaultRowHeight="15"/>
  <sheetData>
    <row r="1">
      <c r="A1" s="73" t="inlineStr">
        <is>
          <t>RATES: PLV BOM Rate Card 29 Sep 26 (rates_version 2026-09-29), with the 30 Sep changes: finishing split into four rates, 40 × 40 section rule</t>
        </is>
      </c>
    </row>
    <row r="2">
      <c r="A2" s="74" t="inlineStr">
        <is>
          <t>Blue = base figure (change it and every cost in this workbook follows). Black = formula. Item tabs look rates up by the code in column A. Only the rate owner edits this tab.</t>
        </is>
      </c>
    </row>
    <row r="3">
      <c r="A3" s="75"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row>
    <row r="4">
      <c r="A4" s="76" t="inlineStr">
        <is>
          <t>code</t>
        </is>
      </c>
      <c r="B4" s="76" t="inlineStr">
        <is>
          <t>Description</t>
        </is>
      </c>
      <c r="C4" s="77" t="inlineStr">
        <is>
          <t>Value</t>
        </is>
      </c>
      <c r="E4" s="76" t="inlineStr">
        <is>
          <t>Unit</t>
        </is>
      </c>
      <c r="F4" s="78" t="inlineStr">
        <is>
          <t>Source</t>
        </is>
      </c>
      <c r="G4" s="79" t="inlineStr">
        <is>
          <t>Quote USD (Linyi Ocean landed, 16 Oct 2026)</t>
        </is>
      </c>
      <c r="H4" s="79" t="inlineStr">
        <is>
          <t>Quote IDR (USD × FX_USD)</t>
        </is>
      </c>
    </row>
    <row r="5">
      <c r="A5" s="75" t="inlineStr">
        <is>
          <t>BASE FIGURES: STMV (Standard Maldives) ledger, payroll and vendor lists</t>
        </is>
      </c>
    </row>
    <row r="6">
      <c r="A6" s="75" t="inlineStr">
        <is>
          <t>log_teak</t>
        </is>
      </c>
      <c r="B6" s="74" t="inlineStr">
        <is>
          <t>Teak log price, implied</t>
        </is>
      </c>
      <c r="C6" s="80" t="n">
        <v>6000000</v>
      </c>
      <c r="E6" s="74" t="inlineStr">
        <is>
          <t>IDR/m³</t>
        </is>
      </c>
      <c r="F6" s="74" t="inlineStr">
        <is>
          <t>Ledger 152.3m ÷ 14 m³. Status CONFIRM: replace with nota price</t>
        </is>
      </c>
    </row>
    <row r="7">
      <c r="A7" s="75" t="inlineStr">
        <is>
          <t>log_mindi</t>
        </is>
      </c>
      <c r="B7" s="74" t="inlineStr">
        <is>
          <t>Mindi log price, implied</t>
        </is>
      </c>
      <c r="C7" s="80" t="n">
        <v>3000000</v>
      </c>
      <c r="E7" s="74" t="inlineStr">
        <is>
          <t>IDR/m³</t>
        </is>
      </c>
      <c r="F7" s="74" t="inlineStr">
        <is>
          <t>Ledger 126.1m ÷ 41 m³. Status CONFIRM</t>
        </is>
      </c>
    </row>
    <row r="8">
      <c r="A8" s="75" t="inlineStr">
        <is>
          <t>meranti_sawn</t>
        </is>
      </c>
      <c r="B8" s="74" t="inlineStr">
        <is>
          <t>Meranti dry sawn timber</t>
        </is>
      </c>
      <c r="C8" s="80" t="n">
        <v>8500000</v>
      </c>
      <c r="E8" s="74" t="inlineStr">
        <is>
          <t>IDR/m³</t>
        </is>
      </c>
      <c r="F8" s="74" t="inlineStr">
        <is>
          <t>STMV BOM price. Status CONFIRM</t>
        </is>
      </c>
    </row>
    <row r="9">
      <c r="A9" s="75" t="inlineStr">
        <is>
          <t>processing</t>
        </is>
      </c>
      <c r="B9" s="74" t="inlineStr">
        <is>
          <t>Wood processing (kiln + sawmill + hauling + sawmill staff), per m³ of log</t>
        </is>
      </c>
      <c r="C9" s="80" t="n">
        <v>598978</v>
      </c>
      <c r="E9" s="74" t="inlineStr">
        <is>
          <t>IDR/m³</t>
        </is>
      </c>
      <c r="F9" s="74" t="inlineStr">
        <is>
          <t>Ledger ÷ 75.82 m³ teak + mindi</t>
        </is>
      </c>
    </row>
    <row r="10">
      <c r="A10" s="75" t="inlineStr">
        <is>
          <t>carp_pool</t>
        </is>
      </c>
      <c r="B10" s="74" t="inlineStr">
        <is>
          <t>Carpentry payroll pool Mar–Sep 2026</t>
        </is>
      </c>
      <c r="C10" s="80" t="n">
        <v>270175017</v>
      </c>
      <c r="E10" s="74" t="inlineStr">
        <is>
          <t>IDR</t>
        </is>
      </c>
      <c r="F10" s="74" t="inlineStr">
        <is>
          <t>Payroll categorised by name, 29 Sep</t>
        </is>
      </c>
    </row>
    <row r="11">
      <c r="A11" s="75" t="inlineStr">
        <is>
          <t>carp_deduct</t>
        </is>
      </c>
      <c r="B11" s="74" t="inlineStr">
        <is>
          <t>Less panel cutting / pressing (already in panel rate)</t>
        </is>
      </c>
      <c r="C11" s="80" t="n">
        <v>0.1</v>
      </c>
      <c r="E11" s="74" t="inlineStr">
        <is>
          <t>%</t>
        </is>
      </c>
      <c r="F11" s="74" t="inlineStr">
        <is>
          <t>Decision 29 Sep</t>
        </is>
      </c>
    </row>
    <row r="12">
      <c r="A12" s="75" t="inlineStr">
        <is>
          <t>comp_m3</t>
        </is>
      </c>
      <c r="B12" s="74" t="inlineStr">
        <is>
          <t>STMV solid wood in components (teak 12.21 + mindi 13.15 + meranti 7.20)</t>
        </is>
      </c>
      <c r="C12" s="80" t="n">
        <v>32.56</v>
      </c>
      <c r="E12" s="74" t="inlineStr">
        <is>
          <t>m³</t>
        </is>
      </c>
      <c r="F12" s="74" t="inlineStr">
        <is>
          <t>REVISI BOM 21 MEI 26</t>
        </is>
      </c>
    </row>
    <row r="13">
      <c r="A13" s="75" t="inlineStr">
        <is>
          <t>yield_A</t>
        </is>
      </c>
      <c r="B13" s="74" t="inlineStr">
        <is>
          <t>Yield factor tier A (exposed, straight, ≥ 1000 mm)</t>
        </is>
      </c>
      <c r="C13" s="80" t="n">
        <v>3.5</v>
      </c>
      <c r="E13" s="74" t="inlineStr">
        <is>
          <t>x</t>
        </is>
      </c>
      <c r="F13" s="74" t="inlineStr">
        <is>
          <t>Judgement, open item</t>
        </is>
      </c>
    </row>
    <row r="14">
      <c r="A14" s="75" t="inlineStr">
        <is>
          <t>yield_AC</t>
        </is>
      </c>
      <c r="B14" s="74" t="inlineStr">
        <is>
          <t>Yield factor tier A-CURVED / wide board</t>
        </is>
      </c>
      <c r="C14" s="80" t="n">
        <v>4.6</v>
      </c>
      <c r="E14" s="74" t="inlineStr">
        <is>
          <t>x</t>
        </is>
      </c>
      <c r="F14" s="74" t="inlineStr">
        <is>
          <t>STMV mindi</t>
        </is>
      </c>
    </row>
    <row r="15">
      <c r="A15" s="75" t="inlineStr">
        <is>
          <t>yield_B</t>
        </is>
      </c>
      <c r="B15" s="74" t="inlineStr">
        <is>
          <t>Yield factor tier B (exposed &lt; 1000 mm, or section ≤ 40 × 40 up to 1500 mm)</t>
        </is>
      </c>
      <c r="C15" s="80" t="n">
        <v>2.5</v>
      </c>
      <c r="E15" s="74" t="inlineStr">
        <is>
          <t>x</t>
        </is>
      </c>
      <c r="F15" s="74" t="inlineStr">
        <is>
          <t>Judgement, open item</t>
        </is>
      </c>
    </row>
    <row r="16">
      <c r="A16" s="75" t="inlineStr">
        <is>
          <t>yield_C</t>
        </is>
      </c>
      <c r="B16" s="74" t="inlineStr">
        <is>
          <t>Yield factor tier C (not exposed)</t>
        </is>
      </c>
      <c r="C16" s="80" t="n">
        <v>2</v>
      </c>
      <c r="E16" s="74" t="inlineStr">
        <is>
          <t>x</t>
        </is>
      </c>
      <c r="F16" s="74" t="inlineStr">
        <is>
          <t>STMV teak</t>
        </is>
      </c>
    </row>
    <row r="17">
      <c r="A17" s="75" t="inlineStr">
        <is>
          <t>yield_D</t>
        </is>
      </c>
      <c r="B17" s="74" t="inlineStr">
        <is>
          <t>Yield factor tier D (very small parts)</t>
        </is>
      </c>
      <c r="C17" s="80" t="n">
        <v>1.5</v>
      </c>
      <c r="E17" s="74" t="inlineStr">
        <is>
          <t>x</t>
        </is>
      </c>
      <c r="F17" s="74" t="inlineStr">
        <is>
          <t>Judgement, open item</t>
        </is>
      </c>
    </row>
    <row r="18">
      <c r="A18" s="75" t="inlineStr">
        <is>
          <t>yield_MER</t>
        </is>
      </c>
      <c r="B18" s="74" t="inlineStr">
        <is>
          <t>Meranti sawn-to-component yield</t>
        </is>
      </c>
      <c r="C18" s="80" t="n">
        <v>1.5</v>
      </c>
      <c r="E18" s="74" t="inlineStr">
        <is>
          <t>x</t>
        </is>
      </c>
      <c r="F18" s="74" t="inlineStr">
        <is>
          <t>Assumption</t>
        </is>
      </c>
    </row>
    <row r="19">
      <c r="A19" s="75" t="inlineStr">
        <is>
          <t>fast_total</t>
        </is>
      </c>
      <c r="B19" s="74" t="inlineStr">
        <is>
          <t>Screws, nails, dowels, wood glue: STMV ledger estimate</t>
        </is>
      </c>
      <c r="C19" s="80" t="n">
        <v>57000000</v>
      </c>
      <c r="E19" s="74" t="inlineStr">
        <is>
          <t>IDR</t>
        </is>
      </c>
      <c r="F19" s="74" t="inlineStr">
        <is>
          <t>Status CONFIRM</t>
        </is>
      </c>
    </row>
    <row r="20">
      <c r="A20" s="75" t="inlineStr">
        <is>
          <t>paint_total</t>
        </is>
      </c>
      <c r="B20" s="74" t="inlineStr">
        <is>
          <t>Finishing materials: Zhanchen all-in 52,888,326 + thinner 31,249,000</t>
        </is>
      </c>
      <c r="C20" s="80" t="n">
        <v>84137326</v>
      </c>
      <c r="E20" s="74" t="inlineStr">
        <is>
          <t>IDR</t>
        </is>
      </c>
      <c r="F20" s="74" t="inlineStr">
        <is>
          <t>Ledger, agreed 28 Sep</t>
        </is>
      </c>
    </row>
    <row r="21">
      <c r="A21" s="75" t="inlineStr">
        <is>
          <t>abrasive_total</t>
        </is>
      </c>
      <c r="B21" s="74" t="inlineStr">
        <is>
          <t>Sanding materials: abrasives / sandpaper</t>
        </is>
      </c>
      <c r="C21" s="80" t="n">
        <v>27713000</v>
      </c>
      <c r="E21" s="74" t="inlineStr">
        <is>
          <t>IDR</t>
        </is>
      </c>
      <c r="F21" s="74" t="inlineStr">
        <is>
          <t>Ledger, agreed 28 Sep</t>
        </is>
      </c>
    </row>
    <row r="22">
      <c r="A22" s="75" t="inlineStr">
        <is>
          <t>fin_pool</t>
        </is>
      </c>
      <c r="B22" s="74" t="inlineStr">
        <is>
          <t>Finishing payroll pool excl. sanding (finishing, PU, gerinda, helper)</t>
        </is>
      </c>
      <c r="C22" s="80" t="n">
        <v>192243271</v>
      </c>
      <c r="E22" s="74" t="inlineStr">
        <is>
          <t>IDR</t>
        </is>
      </c>
      <c r="F22" s="74" t="inlineStr">
        <is>
          <t>Payroll, 29 Sep</t>
        </is>
      </c>
    </row>
    <row r="23">
      <c r="A23" s="75" t="inlineStr">
        <is>
          <t>sand_pool</t>
        </is>
      </c>
      <c r="B23" s="74" t="inlineStr">
        <is>
          <t>Sanding payroll pool, as paid</t>
        </is>
      </c>
      <c r="C23" s="80" t="n">
        <v>131550191</v>
      </c>
      <c r="E23" s="74" t="inlineStr">
        <is>
          <t>IDR</t>
        </is>
      </c>
      <c r="F23" s="74" t="inlineStr">
        <is>
          <t>Payroll, 29 Sep</t>
        </is>
      </c>
    </row>
    <row r="24">
      <c r="A24" s="75" t="inlineStr">
        <is>
          <t>sand_keep</t>
        </is>
      </c>
      <c r="B24" s="74" t="inlineStr">
        <is>
          <t>Sanding share kept (35% removed: bleach re-sanding, packing work)</t>
        </is>
      </c>
      <c r="C24" s="80" t="n">
        <v>0.65</v>
      </c>
      <c r="E24" s="74" t="inlineStr">
        <is>
          <t>%</t>
        </is>
      </c>
      <c r="F24" s="74" t="inlineStr">
        <is>
          <t>Decision 29 Sep</t>
        </is>
      </c>
    </row>
    <row r="25">
      <c r="A25" s="75" t="inlineStr">
        <is>
          <t>fin_m2</t>
        </is>
      </c>
      <c r="B25" s="74" t="inlineStr">
        <is>
          <t>STMV finishing surface</t>
        </is>
      </c>
      <c r="C25" s="80" t="n">
        <v>2166</v>
      </c>
      <c r="E25" s="74" t="inlineStr">
        <is>
          <t>m²</t>
        </is>
      </c>
      <c r="F25" s="74" t="inlineStr">
        <is>
          <t>Items tab estimate</t>
        </is>
      </c>
    </row>
    <row r="26">
      <c r="A26" s="75" t="inlineStr">
        <is>
          <t>oh_pool</t>
        </is>
      </c>
      <c r="B26" s="74" t="inlineStr">
        <is>
          <t>Overhead payroll 213,627,079 + utilities 144,633,030 − PLN upgrade 49,700,000</t>
        </is>
      </c>
      <c r="C26" s="80" t="n">
        <v>308560109</v>
      </c>
      <c r="E26" s="74" t="inlineStr">
        <is>
          <t>IDR</t>
        </is>
      </c>
      <c r="F26" s="74" t="inlineStr">
        <is>
          <t>Payroll + reconciliation 23 Sep</t>
        </is>
      </c>
    </row>
    <row r="27">
      <c r="A27" s="75" t="inlineStr">
        <is>
          <t>stmv_direct</t>
        </is>
      </c>
      <c r="B27" s="74" t="inlineStr">
        <is>
          <t>STMV direct cost</t>
        </is>
      </c>
      <c r="C27" s="80" t="n">
        <v>2374841837</v>
      </c>
      <c r="E27" s="74" t="inlineStr">
        <is>
          <t>IDR</t>
        </is>
      </c>
      <c r="F27" s="74" t="inlineStr">
        <is>
          <t>Reconciliation 23 Sep, section A</t>
        </is>
      </c>
    </row>
    <row r="28">
      <c r="A28" s="75" t="inlineStr">
        <is>
          <t>glue_tape</t>
        </is>
      </c>
      <c r="B28" s="74" t="inlineStr">
        <is>
          <t>Adino glue + gum tape per m² veneered</t>
        </is>
      </c>
      <c r="C28" s="80" t="n">
        <v>10424</v>
      </c>
      <c r="E28" s="74" t="inlineStr">
        <is>
          <t>IDR/m²</t>
        </is>
      </c>
      <c r="F28" s="74" t="inlineStr">
        <is>
          <t>3,912,750 + 600,000 ÷ 432.9 m² (122 doors × 2 faces)</t>
        </is>
      </c>
    </row>
    <row r="29">
      <c r="A29" s="75" t="inlineStr">
        <is>
          <t>ven_teak</t>
        </is>
      </c>
      <c r="B29" s="74" t="inlineStr">
        <is>
          <t>Teak veneer per running metre (1.35 m wide)</t>
        </is>
      </c>
      <c r="C29" s="80" t="n">
        <v>110000</v>
      </c>
      <c r="E29" s="74" t="inlineStr">
        <is>
          <t>IDR/m</t>
        </is>
      </c>
      <c r="F29" s="74" t="inlineStr">
        <is>
          <t>User figure 28 Sep. Status CONFIRM</t>
        </is>
      </c>
    </row>
    <row r="30">
      <c r="A30" s="75" t="inlineStr">
        <is>
          <t>ven_mindi</t>
        </is>
      </c>
      <c r="B30" s="74" t="inlineStr">
        <is>
          <t>Mindi veneer per running metre</t>
        </is>
      </c>
      <c r="C30" s="80" t="n">
        <v>20000</v>
      </c>
      <c r="E30" s="74" t="inlineStr">
        <is>
          <t>IDR/m</t>
        </is>
      </c>
      <c r="F30" s="74" t="inlineStr">
        <is>
          <t>User figure 28 Sep. Status CONFIRM (width ≥ 1.22 m)</t>
        </is>
      </c>
    </row>
    <row r="31">
      <c r="A31" s="75" t="inlineStr">
        <is>
          <t>ven_len</t>
        </is>
      </c>
      <c r="B31" s="74" t="inlineStr">
        <is>
          <t>Veneer length used per face</t>
        </is>
      </c>
      <c r="C31" s="80" t="n">
        <v>2.5</v>
      </c>
      <c r="E31" s="74" t="inlineStr">
        <is>
          <t>m</t>
        </is>
      </c>
      <c r="F31" s="74" t="inlineStr">
        <is>
          <t>One 2.5 m length per face, offcuts not reused</t>
        </is>
      </c>
    </row>
    <row r="32">
      <c r="A32" s="75" t="inlineStr">
        <is>
          <t>ven_labour</t>
        </is>
      </c>
      <c r="B32" s="74" t="inlineStr">
        <is>
          <t>Pressing labour per face (tape, press, sand, cut)</t>
        </is>
      </c>
      <c r="C32" s="80" t="n">
        <v>57142.86</v>
      </c>
      <c r="E32" s="74" t="inlineStr">
        <is>
          <t>IDR/face</t>
        </is>
      </c>
      <c r="F32" s="74" t="inlineStr">
        <is>
          <t>800,000 ÷ 14 sheets. Status CONFIRM</t>
        </is>
      </c>
    </row>
    <row r="33">
      <c r="A33" s="75" t="inlineStr">
        <is>
          <t>RATE CARD: applied by the item tabs</t>
        </is>
      </c>
    </row>
    <row r="34">
      <c r="A34" s="75" t="inlineStr">
        <is>
          <t>LAB_CARP</t>
        </is>
      </c>
      <c r="B34" s="74" t="inlineStr">
        <is>
          <t>Carpentry labour per m³ of component (inside every tier rate)</t>
        </is>
      </c>
      <c r="C34" s="81" t="n">
        <v>4000000</v>
      </c>
      <c r="D34" s="81" t="n"/>
      <c r="E34" s="74" t="inlineStr">
        <is>
          <t>IDR/m³</t>
        </is>
      </c>
      <c r="F34" s="74" t="inlineStr">
        <is>
          <t>Pool less 10% ÷ component m³</t>
        </is>
      </c>
    </row>
    <row r="35">
      <c r="A35" s="75" t="inlineStr">
        <is>
          <t>TEAK_A</t>
        </is>
      </c>
      <c r="B35" s="74" t="inlineStr">
        <is>
          <t>Teak tier A</t>
        </is>
      </c>
      <c r="C35" s="81" t="n">
        <v>27507965.09</v>
      </c>
      <c r="D35" s="81" t="n"/>
      <c r="E35" s="74" t="inlineStr">
        <is>
          <t>IDR/m³</t>
        </is>
      </c>
      <c r="F35" s="74" t="inlineStr">
        <is>
          <t>(log + processing) × yield + labour</t>
        </is>
      </c>
    </row>
    <row r="36">
      <c r="A36" s="75" t="inlineStr">
        <is>
          <t>TEAK_AC</t>
        </is>
      </c>
      <c r="B36" s="74" t="inlineStr">
        <is>
          <t>Teak tier A-CURVED</t>
        </is>
      </c>
      <c r="C36" s="81" t="n">
        <v>34040953.31</v>
      </c>
      <c r="D36" s="81" t="n"/>
      <c r="E36" s="74" t="inlineStr">
        <is>
          <t>IDR/m³</t>
        </is>
      </c>
    </row>
    <row r="37">
      <c r="A37" s="75" t="inlineStr">
        <is>
          <t>TEAK_B</t>
        </is>
      </c>
      <c r="B37" s="74" t="inlineStr">
        <is>
          <t>Teak tier B</t>
        </is>
      </c>
      <c r="C37" s="81" t="n">
        <v>21568884.89</v>
      </c>
      <c r="D37" s="81" t="n"/>
      <c r="E37" s="74" t="inlineStr">
        <is>
          <t>IDR/m³</t>
        </is>
      </c>
    </row>
    <row r="38">
      <c r="A38" s="75" t="inlineStr">
        <is>
          <t>TEAK_C</t>
        </is>
      </c>
      <c r="B38" s="74" t="inlineStr">
        <is>
          <t>Teak tier C</t>
        </is>
      </c>
      <c r="C38" s="81" t="n">
        <v>18599344.79</v>
      </c>
      <c r="D38" s="81" t="n"/>
      <c r="E38" s="74" t="inlineStr">
        <is>
          <t>IDR/m³</t>
        </is>
      </c>
    </row>
    <row r="39">
      <c r="A39" s="75" t="inlineStr">
        <is>
          <t>TEAK_D</t>
        </is>
      </c>
      <c r="B39" s="74" t="inlineStr">
        <is>
          <t>Teak tier D</t>
        </is>
      </c>
      <c r="C39" s="81" t="n">
        <v>15629804.69</v>
      </c>
      <c r="D39" s="81" t="n"/>
      <c r="E39" s="74" t="inlineStr">
        <is>
          <t>IDR/m³</t>
        </is>
      </c>
    </row>
    <row r="40">
      <c r="A40" s="75" t="inlineStr">
        <is>
          <t>MINDI_A</t>
        </is>
      </c>
      <c r="B40" s="74" t="inlineStr">
        <is>
          <t>Mindi tier A</t>
        </is>
      </c>
      <c r="C40" s="81" t="n">
        <v>18057965.09</v>
      </c>
      <c r="D40" s="81" t="n"/>
      <c r="E40" s="74" t="inlineStr">
        <is>
          <t>IDR/m³</t>
        </is>
      </c>
    </row>
    <row r="41">
      <c r="A41" s="75" t="inlineStr">
        <is>
          <t>MINDI_AC</t>
        </is>
      </c>
      <c r="B41" s="74" t="inlineStr">
        <is>
          <t>Mindi tier A-CURVED</t>
        </is>
      </c>
      <c r="C41" s="81" t="n">
        <v>21620953.31</v>
      </c>
      <c r="D41" s="81" t="n"/>
      <c r="E41" s="74" t="inlineStr">
        <is>
          <t>IDR/m³</t>
        </is>
      </c>
    </row>
    <row r="42">
      <c r="A42" s="75" t="inlineStr">
        <is>
          <t>MINDI_B</t>
        </is>
      </c>
      <c r="B42" s="74" t="inlineStr">
        <is>
          <t>Mindi tier B</t>
        </is>
      </c>
      <c r="C42" s="81" t="n">
        <v>14818884.89</v>
      </c>
      <c r="D42" s="81" t="n"/>
      <c r="E42" s="74" t="inlineStr">
        <is>
          <t>IDR/m³</t>
        </is>
      </c>
    </row>
    <row r="43">
      <c r="A43" s="75" t="inlineStr">
        <is>
          <t>MINDI_C</t>
        </is>
      </c>
      <c r="B43" s="74" t="inlineStr">
        <is>
          <t>Mindi tier C</t>
        </is>
      </c>
      <c r="C43" s="81" t="n">
        <v>13199344.79</v>
      </c>
      <c r="D43" s="81" t="n"/>
      <c r="E43" s="74" t="inlineStr">
        <is>
          <t>IDR/m³</t>
        </is>
      </c>
    </row>
    <row r="44">
      <c r="A44" s="75" t="inlineStr">
        <is>
          <t>MINDI_D</t>
        </is>
      </c>
      <c r="B44" s="74" t="inlineStr">
        <is>
          <t>Mindi tier D</t>
        </is>
      </c>
      <c r="C44" s="81" t="n">
        <v>11579804.69</v>
      </c>
      <c r="D44" s="81" t="n"/>
      <c r="E44" s="74" t="inlineStr">
        <is>
          <t>IDR/m³</t>
        </is>
      </c>
    </row>
    <row r="45">
      <c r="A45" s="75" t="inlineStr">
        <is>
          <t>MERANTI</t>
        </is>
      </c>
      <c r="B45" s="74" t="inlineStr">
        <is>
          <t>Meranti, any tier</t>
        </is>
      </c>
      <c r="C45" s="81" t="n">
        <v>18196184.39</v>
      </c>
      <c r="D45" s="81" t="n"/>
      <c r="E45" s="74" t="inlineStr">
        <is>
          <t>IDR/m³</t>
        </is>
      </c>
      <c r="F45" s="74" t="inlineStr">
        <is>
          <t>Sawn price × yield + labour, no processing</t>
        </is>
      </c>
    </row>
    <row r="46">
      <c r="A46" s="75" t="inlineStr">
        <is>
          <t>FASTENERS</t>
        </is>
      </c>
      <c r="B46" s="74" t="inlineStr">
        <is>
          <t>Screws, nails, dowels, glue per m³ of component</t>
        </is>
      </c>
      <c r="C46" s="81" t="n">
        <v>1000000</v>
      </c>
      <c r="D46" s="81" t="n"/>
      <c r="E46" s="74" t="inlineStr">
        <is>
          <t>IDR/m³</t>
        </is>
      </c>
    </row>
    <row r="47">
      <c r="A47" s="75" t="inlineStr">
        <is>
          <t>FIN_MAT</t>
        </is>
      </c>
      <c r="B47" s="74" t="inlineStr">
        <is>
          <t>Finishing materials (Zhanchen + thinner) per m² exposed</t>
        </is>
      </c>
      <c r="C47" s="81" t="n">
        <v>37000</v>
      </c>
      <c r="D47" s="81" t="n"/>
      <c r="E47" s="74" t="inlineStr">
        <is>
          <t>IDR/m²</t>
        </is>
      </c>
    </row>
    <row r="48">
      <c r="A48" s="75" t="inlineStr">
        <is>
          <t>SAND_MAT</t>
        </is>
      </c>
      <c r="B48" s="74" t="inlineStr">
        <is>
          <t>Sanding materials (abrasives) per m² exposed</t>
        </is>
      </c>
      <c r="C48" s="81" t="n">
        <v>10235.64174</v>
      </c>
      <c r="D48" s="81" t="n"/>
      <c r="E48" s="74" t="inlineStr">
        <is>
          <t>IDR/m²</t>
        </is>
      </c>
    </row>
    <row r="49">
      <c r="A49" s="75" t="inlineStr">
        <is>
          <t>SAND_LAB</t>
        </is>
      </c>
      <c r="B49" s="74" t="inlineStr">
        <is>
          <t>Sanding labour (65% of sanding pool) per m² exposed</t>
        </is>
      </c>
      <c r="C49" s="81" t="n">
        <v>20000</v>
      </c>
      <c r="D49" s="81" t="n"/>
      <c r="E49" s="74" t="inlineStr">
        <is>
          <t>IDR/m²</t>
        </is>
      </c>
    </row>
    <row r="50">
      <c r="A50" s="75" t="inlineStr">
        <is>
          <t>FIN_LAB</t>
        </is>
      </c>
      <c r="B50" s="74" t="inlineStr">
        <is>
          <t>Finishing labour (finishing pool) per m² exposed</t>
        </is>
      </c>
      <c r="C50" s="81" t="n">
        <v>45000</v>
      </c>
      <c r="D50" s="81" t="n"/>
      <c r="E50" s="74" t="inlineStr">
        <is>
          <t>IDR/m²</t>
        </is>
      </c>
    </row>
    <row r="51">
      <c r="A51" s="75" t="inlineStr">
        <is>
          <t>CARTON_M2</t>
        </is>
      </c>
      <c r="B51" s="74" t="inlineStr">
        <is>
          <t>Carton + consumables per m² of carton board (6 sides)</t>
        </is>
      </c>
      <c r="C51" s="80" t="n">
        <v>40000</v>
      </c>
      <c r="D51" s="80" t="n"/>
      <c r="E51" s="74" t="inlineStr">
        <is>
          <t>IDR/m²</t>
        </is>
      </c>
      <c r="F51" s="74" t="inlineStr">
        <is>
          <t>Cartons 59.4m + 40% of other packing materials</t>
        </is>
      </c>
    </row>
    <row r="52">
      <c r="A52" s="75" t="inlineStr">
        <is>
          <t>PACK_LAB</t>
        </is>
      </c>
      <c r="B52" s="74" t="inlineStr">
        <is>
          <t>Packing labour per m³ of carton</t>
        </is>
      </c>
      <c r="C52" s="80" t="n">
        <v>50000</v>
      </c>
      <c r="D52" s="80" t="n"/>
      <c r="E52" s="74" t="inlineStr">
        <is>
          <t>IDR/m³</t>
        </is>
      </c>
      <c r="F52" s="74" t="inlineStr">
        <is>
          <t>6 people × 8 days per container. Status CONFIRM</t>
        </is>
      </c>
    </row>
    <row r="53">
      <c r="A53" s="75" t="inlineStr">
        <is>
          <t>GRP_A</t>
        </is>
      </c>
      <c r="B53" s="74" t="inlineStr">
        <is>
          <t>Carton group A price (boxes under CARTON_MIN_M2)</t>
        </is>
      </c>
      <c r="C53" s="80" t="n">
        <v>24000</v>
      </c>
      <c r="E53" s="74" t="inlineStr">
        <is>
          <t>IDR</t>
        </is>
      </c>
      <c r="F53" s="74" t="inlineStr">
        <is>
          <t>STMV carton groups, 28 Sep</t>
        </is>
      </c>
    </row>
    <row r="54">
      <c r="A54" s="75" t="inlineStr">
        <is>
          <t>MISC_PCT</t>
        </is>
      </c>
      <c r="B54" s="74" t="inlineStr">
        <is>
          <t>Miscellaneous, × direct cost</t>
        </is>
      </c>
      <c r="C54" s="80" t="n">
        <v>0.05</v>
      </c>
      <c r="E54" s="74" t="inlineStr">
        <is>
          <t>%</t>
        </is>
      </c>
      <c r="F54" s="74" t="inlineStr">
        <is>
          <t>Decision 29 Sep</t>
        </is>
      </c>
    </row>
    <row r="55">
      <c r="A55" s="75" t="inlineStr">
        <is>
          <t>OH_PCT</t>
        </is>
      </c>
      <c r="B55" s="74" t="inlineStr">
        <is>
          <t>Overhead, × (direct + misc)</t>
        </is>
      </c>
      <c r="C55" s="81">
        <f>$C$26/$C$27</f>
        <v/>
      </c>
      <c r="E55" s="74" t="inlineStr">
        <is>
          <t>%</t>
        </is>
      </c>
      <c r="F55" s="74" t="inlineStr">
        <is>
          <t>Overhead pool ÷ STMV direct cost</t>
        </is>
      </c>
    </row>
    <row r="56">
      <c r="A56" s="75" t="inlineStr">
        <is>
          <t>PLYWOOD per 2440 × 1220 sheet. RAW = board only; MSF / MDF = mindi veneer 1 / 2 faces; TSF / TDF = teak veneer 1 / 2 faces</t>
        </is>
      </c>
    </row>
    <row r="57">
      <c r="A57" s="75" t="inlineStr">
        <is>
          <t>VEN_TEAK_FACE</t>
        </is>
      </c>
      <c r="B57" s="74" t="inlineStr">
        <is>
          <t>Teak veneer added cost per face (veneer + glue/tape + pressing labour)</t>
        </is>
      </c>
      <c r="C57" s="81">
        <f>$C$29*$C$31+$C$28*(LISTS!$F$6*LISTS!$F$7/1000000)+$C$32</f>
        <v/>
      </c>
      <c r="E57" s="74" t="inlineStr">
        <is>
          <t>IDR/face</t>
        </is>
      </c>
    </row>
    <row r="58">
      <c r="A58" s="75" t="inlineStr">
        <is>
          <t>VEN_MINDI_FACE</t>
        </is>
      </c>
      <c r="B58" s="74" t="inlineStr">
        <is>
          <t>Mindi veneer added cost per face</t>
        </is>
      </c>
      <c r="C58" s="81" t="n">
        <v>18000</v>
      </c>
      <c r="D58" s="81" t="n"/>
      <c r="E58" s="74" t="inlineStr">
        <is>
          <t>m2</t>
        </is>
      </c>
    </row>
    <row r="59">
      <c r="A59" s="75" t="inlineStr">
        <is>
          <t>PLY-3-RAW</t>
        </is>
      </c>
      <c r="B59" s="74" t="inlineStr">
        <is>
          <t>Plywood 3 mm, raw</t>
        </is>
      </c>
      <c r="C59" s="80">
        <f>H59</f>
        <v/>
      </c>
      <c r="E59" s="74" t="inlineStr">
        <is>
          <t>IDR/sheet</t>
        </is>
      </c>
      <c r="F59" s="74" t="inlineStr">
        <is>
          <t>Mojo Indah list, Sep 2026</t>
        </is>
      </c>
      <c r="G59" s="82">
        <f t="array" ref="G59">INDEX($G$178:$G$215,MATCH("LND-PLY-"&amp;$C$174&amp;"-3",$A$178:$A$215,0))</f>
        <v/>
      </c>
      <c r="H59" s="83">
        <f>G59*$C$172</f>
        <v/>
      </c>
    </row>
    <row r="60">
      <c r="A60" s="75" t="inlineStr">
        <is>
          <t>PLY-3-MSF</t>
        </is>
      </c>
      <c r="B60" s="74" t="inlineStr">
        <is>
          <t>Plywood 3 mm, mindi single face</t>
        </is>
      </c>
      <c r="C60" s="81">
        <f>C59+$C$175</f>
        <v/>
      </c>
      <c r="E60" s="74" t="inlineStr">
        <is>
          <t>IDR/sheet</t>
        </is>
      </c>
    </row>
    <row r="61">
      <c r="A61" s="75" t="inlineStr">
        <is>
          <t>PLY-3-MDF</t>
        </is>
      </c>
      <c r="B61" s="74" t="inlineStr">
        <is>
          <t>Plywood 3 mm, mindi double face</t>
        </is>
      </c>
      <c r="C61" s="81">
        <f>C59+2*$C$175</f>
        <v/>
      </c>
      <c r="E61" s="74" t="inlineStr">
        <is>
          <t>IDR/sheet</t>
        </is>
      </c>
    </row>
    <row r="62">
      <c r="A62" s="75" t="inlineStr">
        <is>
          <t>PLY-3-TSF</t>
        </is>
      </c>
      <c r="B62" s="74" t="inlineStr">
        <is>
          <t>Plywood 3 mm, teak single face</t>
        </is>
      </c>
      <c r="C62" s="81">
        <f>C59+$C$176</f>
        <v/>
      </c>
      <c r="E62" s="74" t="inlineStr">
        <is>
          <t>IDR/sheet</t>
        </is>
      </c>
    </row>
    <row r="63">
      <c r="A63" s="75" t="inlineStr">
        <is>
          <t>PLY-3-TDF</t>
        </is>
      </c>
      <c r="B63" s="74" t="inlineStr">
        <is>
          <t>Plywood 3 mm, teak double face</t>
        </is>
      </c>
      <c r="C63" s="81">
        <f>C59+2*$C$176</f>
        <v/>
      </c>
      <c r="E63" s="74" t="inlineStr">
        <is>
          <t>IDR/sheet</t>
        </is>
      </c>
    </row>
    <row r="64">
      <c r="A64" s="75" t="inlineStr">
        <is>
          <t>PLY-6-RAW</t>
        </is>
      </c>
      <c r="B64" s="74" t="inlineStr">
        <is>
          <t>Plywood 6 mm, raw</t>
        </is>
      </c>
      <c r="C64" s="80">
        <f>H64</f>
        <v/>
      </c>
      <c r="E64" s="74" t="inlineStr">
        <is>
          <t>IDR/sheet</t>
        </is>
      </c>
      <c r="F64" s="74" t="inlineStr">
        <is>
          <t>Mojo Indah list, Sep 2026</t>
        </is>
      </c>
      <c r="G64" s="82">
        <f t="array" ref="G64">INDEX($G$178:$G$215,MATCH("LND-PLY-"&amp;$C$174&amp;"-6",$A$178:$A$215,0))</f>
        <v/>
      </c>
      <c r="H64" s="83">
        <f>G64*$C$172</f>
        <v/>
      </c>
    </row>
    <row r="65">
      <c r="A65" s="75" t="inlineStr">
        <is>
          <t>PLY-6-MSF</t>
        </is>
      </c>
      <c r="B65" s="74" t="inlineStr">
        <is>
          <t>Plywood 6 mm, mindi single face</t>
        </is>
      </c>
      <c r="C65" s="81">
        <f>C64+$C$175</f>
        <v/>
      </c>
      <c r="E65" s="74" t="inlineStr">
        <is>
          <t>IDR/sheet</t>
        </is>
      </c>
    </row>
    <row r="66">
      <c r="A66" s="75" t="inlineStr">
        <is>
          <t>PLY-6-MDF</t>
        </is>
      </c>
      <c r="B66" s="74" t="inlineStr">
        <is>
          <t>Plywood 6 mm, mindi double face</t>
        </is>
      </c>
      <c r="C66" s="81">
        <f>C64+2*$C$175</f>
        <v/>
      </c>
      <c r="E66" s="74" t="inlineStr">
        <is>
          <t>IDR/sheet</t>
        </is>
      </c>
    </row>
    <row r="67">
      <c r="A67" s="75" t="inlineStr">
        <is>
          <t>PLY-6-TSF</t>
        </is>
      </c>
      <c r="B67" s="74" t="inlineStr">
        <is>
          <t>Plywood 6 mm, teak single face</t>
        </is>
      </c>
      <c r="C67" s="81">
        <f>C64+$C$176</f>
        <v/>
      </c>
      <c r="E67" s="74" t="inlineStr">
        <is>
          <t>IDR/sheet</t>
        </is>
      </c>
    </row>
    <row r="68">
      <c r="A68" s="75" t="inlineStr">
        <is>
          <t>PLY-6-TDF</t>
        </is>
      </c>
      <c r="B68" s="74" t="inlineStr">
        <is>
          <t>Plywood 6 mm, teak double face</t>
        </is>
      </c>
      <c r="C68" s="81">
        <f>C64+2*$C$176</f>
        <v/>
      </c>
      <c r="E68" s="74" t="inlineStr">
        <is>
          <t>IDR/sheet</t>
        </is>
      </c>
    </row>
    <row r="69">
      <c r="A69" s="75" t="inlineStr">
        <is>
          <t>PLY-9-RAW</t>
        </is>
      </c>
      <c r="B69" s="74" t="inlineStr">
        <is>
          <t>Plywood 9 mm, raw</t>
        </is>
      </c>
      <c r="C69" s="80">
        <f>H69</f>
        <v/>
      </c>
      <c r="E69" s="74" t="inlineStr">
        <is>
          <t>IDR/sheet</t>
        </is>
      </c>
      <c r="F69" s="74" t="inlineStr">
        <is>
          <t>Mojo Indah list, Sep 2026</t>
        </is>
      </c>
      <c r="G69" s="82">
        <f t="array" ref="G69">INDEX($G$178:$G$215,MATCH("LND-PLY-"&amp;$C$174&amp;"-9",$A$178:$A$215,0))</f>
        <v/>
      </c>
      <c r="H69" s="83">
        <f>G69*$C$172</f>
        <v/>
      </c>
    </row>
    <row r="70">
      <c r="A70" s="75" t="inlineStr">
        <is>
          <t>PLY-9-MSF</t>
        </is>
      </c>
      <c r="B70" s="74" t="inlineStr">
        <is>
          <t>Plywood 9 mm, mindi single face</t>
        </is>
      </c>
      <c r="C70" s="81">
        <f>C69+$C$175</f>
        <v/>
      </c>
      <c r="E70" s="74" t="inlineStr">
        <is>
          <t>IDR/sheet</t>
        </is>
      </c>
    </row>
    <row r="71">
      <c r="A71" s="75" t="inlineStr">
        <is>
          <t>PLY-9-MDF</t>
        </is>
      </c>
      <c r="B71" s="74" t="inlineStr">
        <is>
          <t>Plywood 9 mm, mindi double face</t>
        </is>
      </c>
      <c r="C71" s="81">
        <f>C69+2*$C$175</f>
        <v/>
      </c>
      <c r="E71" s="74" t="inlineStr">
        <is>
          <t>IDR/sheet</t>
        </is>
      </c>
    </row>
    <row r="72">
      <c r="A72" s="75" t="inlineStr">
        <is>
          <t>PLY-9-TSF</t>
        </is>
      </c>
      <c r="B72" s="74" t="inlineStr">
        <is>
          <t>Plywood 9 mm, teak single face</t>
        </is>
      </c>
      <c r="C72" s="81">
        <f>C69+$C$176</f>
        <v/>
      </c>
      <c r="E72" s="74" t="inlineStr">
        <is>
          <t>IDR/sheet</t>
        </is>
      </c>
    </row>
    <row r="73">
      <c r="A73" s="75" t="inlineStr">
        <is>
          <t>PLY-9-TDF</t>
        </is>
      </c>
      <c r="B73" s="74" t="inlineStr">
        <is>
          <t>Plywood 9 mm, teak double face</t>
        </is>
      </c>
      <c r="C73" s="81">
        <f>C69+2*$C$176</f>
        <v/>
      </c>
      <c r="E73" s="74" t="inlineStr">
        <is>
          <t>IDR/sheet</t>
        </is>
      </c>
    </row>
    <row r="74">
      <c r="A74" s="75" t="inlineStr">
        <is>
          <t>PLY-12-RAW</t>
        </is>
      </c>
      <c r="B74" s="74" t="inlineStr">
        <is>
          <t>Plywood 12 mm, raw</t>
        </is>
      </c>
      <c r="C74" s="80">
        <f>H74</f>
        <v/>
      </c>
      <c r="E74" s="74" t="inlineStr">
        <is>
          <t>IDR/sheet</t>
        </is>
      </c>
      <c r="F74" s="74" t="inlineStr">
        <is>
          <t>Mojo Indah list, Sep 2026</t>
        </is>
      </c>
      <c r="G74" s="82">
        <f t="array" ref="G74">INDEX($G$178:$G$215,MATCH("LND-PLY-"&amp;$C$174&amp;"-12",$A$178:$A$215,0))</f>
        <v/>
      </c>
      <c r="H74" s="83">
        <f>G74*$C$172</f>
        <v/>
      </c>
    </row>
    <row r="75">
      <c r="A75" s="75" t="inlineStr">
        <is>
          <t>PLY-12-MSF</t>
        </is>
      </c>
      <c r="B75" s="74" t="inlineStr">
        <is>
          <t>Plywood 12 mm, mindi single face</t>
        </is>
      </c>
      <c r="C75" s="81">
        <f>C74+$C$175</f>
        <v/>
      </c>
      <c r="E75" s="74" t="inlineStr">
        <is>
          <t>IDR/sheet</t>
        </is>
      </c>
    </row>
    <row r="76">
      <c r="A76" s="75" t="inlineStr">
        <is>
          <t>PLY-12-MDF</t>
        </is>
      </c>
      <c r="B76" s="74" t="inlineStr">
        <is>
          <t>Plywood 12 mm, mindi double face</t>
        </is>
      </c>
      <c r="C76" s="81">
        <f>C74+2*$C$175</f>
        <v/>
      </c>
      <c r="E76" s="74" t="inlineStr">
        <is>
          <t>IDR/sheet</t>
        </is>
      </c>
    </row>
    <row r="77">
      <c r="A77" s="75" t="inlineStr">
        <is>
          <t>PLY-12-TSF</t>
        </is>
      </c>
      <c r="B77" s="74" t="inlineStr">
        <is>
          <t>Plywood 12 mm, teak single face</t>
        </is>
      </c>
      <c r="C77" s="81">
        <f>C74+$C$176</f>
        <v/>
      </c>
      <c r="E77" s="74" t="inlineStr">
        <is>
          <t>IDR/sheet</t>
        </is>
      </c>
    </row>
    <row r="78">
      <c r="A78" s="75" t="inlineStr">
        <is>
          <t>PLY-12-TDF</t>
        </is>
      </c>
      <c r="B78" s="74" t="inlineStr">
        <is>
          <t>Plywood 12 mm, teak double face</t>
        </is>
      </c>
      <c r="C78" s="81">
        <f>C74+2*$C$176</f>
        <v/>
      </c>
      <c r="E78" s="74" t="inlineStr">
        <is>
          <t>IDR/sheet</t>
        </is>
      </c>
    </row>
    <row r="79">
      <c r="A79" s="75" t="inlineStr">
        <is>
          <t>PLY-15-RAW</t>
        </is>
      </c>
      <c r="B79" s="74" t="inlineStr">
        <is>
          <t>Plywood 15 mm, raw</t>
        </is>
      </c>
      <c r="C79" s="80" t="n">
        <v>260000</v>
      </c>
      <c r="E79" s="74" t="inlineStr">
        <is>
          <t>IDR/sheet</t>
        </is>
      </c>
      <c r="F79" s="74" t="inlineStr">
        <is>
          <t>Mojo Indah list, Sep 2026</t>
        </is>
      </c>
      <c r="G79" s="82">
        <f t="array" ref="G79">INDEX($G$178:$G$215,MATCH("LND-PLY-"&amp;$C$174&amp;"-15",$A$178:$A$215,0))</f>
        <v/>
      </c>
      <c r="H79" s="83">
        <f>G79*$C$172</f>
        <v/>
      </c>
    </row>
    <row r="80">
      <c r="A80" s="75" t="inlineStr">
        <is>
          <t>PLY-15-MSF</t>
        </is>
      </c>
      <c r="B80" s="74" t="inlineStr">
        <is>
          <t>Plywood 15 mm, mindi single face</t>
        </is>
      </c>
      <c r="C80" s="81" t="n">
        <v>407709.02</v>
      </c>
      <c r="E80" s="74" t="inlineStr">
        <is>
          <t>IDR/sheet</t>
        </is>
      </c>
    </row>
    <row r="81">
      <c r="A81" s="75" t="inlineStr">
        <is>
          <t>PLY-15-MDF</t>
        </is>
      </c>
      <c r="B81" s="74" t="inlineStr">
        <is>
          <t>Plywood 15 mm, mindi double face</t>
        </is>
      </c>
      <c r="C81" s="81" t="n">
        <v>555418.04</v>
      </c>
      <c r="E81" s="74" t="inlineStr">
        <is>
          <t>IDR/sheet</t>
        </is>
      </c>
    </row>
    <row r="82">
      <c r="A82" s="75" t="inlineStr">
        <is>
          <t>PLY-15-TSF</t>
        </is>
      </c>
      <c r="B82" s="74" t="inlineStr">
        <is>
          <t>Plywood 15 mm, teak single face</t>
        </is>
      </c>
      <c r="C82" s="81" t="n">
        <v>601201.02</v>
      </c>
      <c r="E82" s="74" t="inlineStr">
        <is>
          <t>IDR/sheet</t>
        </is>
      </c>
    </row>
    <row r="83">
      <c r="A83" s="75" t="inlineStr">
        <is>
          <t>PLY-15-TDF</t>
        </is>
      </c>
      <c r="B83" s="74" t="inlineStr">
        <is>
          <t>Plywood 15 mm, teak double face</t>
        </is>
      </c>
      <c r="C83" s="81" t="n">
        <v>942402.04</v>
      </c>
      <c r="E83" s="74" t="inlineStr">
        <is>
          <t>IDR/sheet</t>
        </is>
      </c>
    </row>
    <row r="84">
      <c r="A84" s="75" t="inlineStr">
        <is>
          <t>PLY-18-RAW</t>
        </is>
      </c>
      <c r="B84" s="74" t="inlineStr">
        <is>
          <t>Plywood 18 mm, raw</t>
        </is>
      </c>
      <c r="C84" s="80">
        <f>H84</f>
        <v/>
      </c>
      <c r="E84" s="74" t="inlineStr">
        <is>
          <t>IDR/sheet</t>
        </is>
      </c>
      <c r="F84" s="74" t="inlineStr">
        <is>
          <t>Mojo Indah list, Sep 2026</t>
        </is>
      </c>
      <c r="G84" s="82">
        <f t="array" ref="G84">INDEX($G$178:$G$215,MATCH("LND-PLY-"&amp;$C$174&amp;"-18",$A$178:$A$215,0))</f>
        <v/>
      </c>
      <c r="H84" s="83">
        <f>G84*$C$172</f>
        <v/>
      </c>
    </row>
    <row r="85">
      <c r="A85" s="75" t="inlineStr">
        <is>
          <t>PLY-18-MSF</t>
        </is>
      </c>
      <c r="B85" s="74" t="inlineStr">
        <is>
          <t>Plywood 18 mm, mindi single face</t>
        </is>
      </c>
      <c r="C85" s="81">
        <f>C84+$C$175</f>
        <v/>
      </c>
      <c r="E85" s="74" t="inlineStr">
        <is>
          <t>IDR/sheet</t>
        </is>
      </c>
    </row>
    <row r="86">
      <c r="A86" s="75" t="inlineStr">
        <is>
          <t>PLY-18-MDF</t>
        </is>
      </c>
      <c r="B86" s="74" t="inlineStr">
        <is>
          <t>Plywood 18 mm, mindi double face</t>
        </is>
      </c>
      <c r="C86" s="81">
        <f>C84+2*$C$175</f>
        <v/>
      </c>
      <c r="E86" s="74" t="inlineStr">
        <is>
          <t>IDR/sheet</t>
        </is>
      </c>
    </row>
    <row r="87">
      <c r="A87" s="75" t="inlineStr">
        <is>
          <t>PLY-18-TSF</t>
        </is>
      </c>
      <c r="B87" s="74" t="inlineStr">
        <is>
          <t>Plywood 18 mm, teak single face</t>
        </is>
      </c>
      <c r="C87" s="81">
        <f>C84+$C$176</f>
        <v/>
      </c>
      <c r="E87" s="74" t="inlineStr">
        <is>
          <t>IDR/sheet</t>
        </is>
      </c>
    </row>
    <row r="88">
      <c r="A88" s="75" t="inlineStr">
        <is>
          <t>PLY-18-TDF</t>
        </is>
      </c>
      <c r="B88" s="74" t="inlineStr">
        <is>
          <t>Plywood 18 mm, teak double face</t>
        </is>
      </c>
      <c r="C88" s="81">
        <f>C84+2*$C$176</f>
        <v/>
      </c>
      <c r="E88" s="74" t="inlineStr">
        <is>
          <t>IDR/sheet</t>
        </is>
      </c>
    </row>
    <row r="89">
      <c r="A89" s="75" t="inlineStr">
        <is>
          <t>PLY-24-RAW</t>
        </is>
      </c>
      <c r="B89" s="74" t="inlineStr">
        <is>
          <t>Plywood 24 mm, raw</t>
        </is>
      </c>
      <c r="C89" s="80" t="n">
        <v>375000</v>
      </c>
      <c r="E89" s="74" t="inlineStr">
        <is>
          <t>IDR/sheet</t>
        </is>
      </c>
      <c r="F89" s="74" t="inlineStr">
        <is>
          <t>Extrapolated. Status CONFIRM</t>
        </is>
      </c>
    </row>
    <row r="90">
      <c r="A90" s="75" t="inlineStr">
        <is>
          <t>PLY-24-MSF</t>
        </is>
      </c>
      <c r="B90" s="74" t="inlineStr">
        <is>
          <t>Plywood 24 mm, mindi single face</t>
        </is>
      </c>
      <c r="C90" s="81" t="n">
        <v>522709.02</v>
      </c>
      <c r="E90" s="74" t="inlineStr">
        <is>
          <t>IDR/sheet</t>
        </is>
      </c>
    </row>
    <row r="91">
      <c r="A91" s="75" t="inlineStr">
        <is>
          <t>PLY-24-MDF</t>
        </is>
      </c>
      <c r="B91" s="74" t="inlineStr">
        <is>
          <t>Plywood 24 mm, mindi double face</t>
        </is>
      </c>
      <c r="C91" s="81" t="n">
        <v>670418.04</v>
      </c>
      <c r="E91" s="74" t="inlineStr">
        <is>
          <t>IDR/sheet</t>
        </is>
      </c>
    </row>
    <row r="92">
      <c r="A92" s="75" t="inlineStr">
        <is>
          <t>PLY-24-TSF</t>
        </is>
      </c>
      <c r="B92" s="74" t="inlineStr">
        <is>
          <t>Plywood 24 mm, teak single face</t>
        </is>
      </c>
      <c r="C92" s="81" t="n">
        <v>716201.02</v>
      </c>
      <c r="E92" s="74" t="inlineStr">
        <is>
          <t>IDR/sheet</t>
        </is>
      </c>
    </row>
    <row r="93">
      <c r="A93" s="75" t="inlineStr">
        <is>
          <t>PLY-24-TDF</t>
        </is>
      </c>
      <c r="B93" s="74" t="inlineStr">
        <is>
          <t>Plywood 24 mm, teak double face</t>
        </is>
      </c>
      <c r="C93" s="81" t="n">
        <v>1057402.04</v>
      </c>
      <c r="E93" s="74" t="inlineStr">
        <is>
          <t>IDR/sheet</t>
        </is>
      </c>
    </row>
    <row r="94">
      <c r="A94" s="75" t="inlineStr">
        <is>
          <t>NORMS</t>
        </is>
      </c>
    </row>
    <row r="95">
      <c r="A95" s="75" t="inlineStr">
        <is>
          <t>CARTON_MIN_M2</t>
        </is>
      </c>
      <c r="B95" s="74" t="inlineStr">
        <is>
          <t>Below this carton area use group A price</t>
        </is>
      </c>
      <c r="C95" s="80" t="n">
        <v>0.15</v>
      </c>
      <c r="E95" s="74" t="inlineStr">
        <is>
          <t>m²</t>
        </is>
      </c>
    </row>
    <row r="96">
      <c r="A96" s="75" t="inlineStr">
        <is>
          <t>KD_PACK_FACTOR</t>
        </is>
      </c>
      <c r="B96" s="74" t="inlineStr">
        <is>
          <t>Extra consumables factor for flatpack (2+ boxes)</t>
        </is>
      </c>
      <c r="C96" s="80" t="n">
        <v>0</v>
      </c>
      <c r="E96" s="74" t="inlineStr">
        <is>
          <t>%</t>
        </is>
      </c>
      <c r="F96" s="74" t="inlineStr">
        <is>
          <t>0 = off</t>
        </is>
      </c>
    </row>
    <row r="97">
      <c r="A97" s="75" t="inlineStr">
        <is>
          <t>WASTE_REUSE_MIN</t>
        </is>
      </c>
      <c r="B97" s="74" t="inlineStr">
        <is>
          <t>Offcut on the last sheet counts as reusable when waste exceeds this</t>
        </is>
      </c>
      <c r="C97" s="80" t="n">
        <v>0.25</v>
      </c>
      <c r="E97" s="74" t="inlineStr">
        <is>
          <t>%</t>
        </is>
      </c>
      <c r="F97" s="74" t="inlineStr">
        <is>
          <t>Decision 29 Sep</t>
        </is>
      </c>
    </row>
    <row r="98">
      <c r="A98" s="75" t="inlineStr">
        <is>
          <t>OFFCUT_HANDLING</t>
        </is>
      </c>
      <c r="B98" s="74" t="inlineStr">
        <is>
          <t>Handling factor on fractional sheets when the offcut is reused</t>
        </is>
      </c>
      <c r="C98" s="80" t="n">
        <v>0.05</v>
      </c>
      <c r="E98" s="74" t="inlineStr">
        <is>
          <t>%</t>
        </is>
      </c>
    </row>
    <row r="99">
      <c r="A99" s="84" t="inlineStr">
        <is>
          <t>PLY-12-CDF</t>
        </is>
      </c>
      <c r="C99" s="85" t="n">
        <v>718794.04</v>
      </c>
      <c r="E99" s="84" t="inlineStr">
        <is>
          <t>IDR/sheet</t>
        </is>
      </c>
      <c r="F99" s="84" t="inlineStr">
        <is>
          <t>rate card DB (price list 2026)</t>
        </is>
      </c>
    </row>
    <row r="100">
      <c r="A100" s="84" t="inlineStr">
        <is>
          <t>PLY-12-CSF</t>
        </is>
      </c>
      <c r="C100" s="85" t="n">
        <v>466897.02</v>
      </c>
      <c r="E100" s="84" t="inlineStr">
        <is>
          <t>IDR/sheet</t>
        </is>
      </c>
      <c r="F100" s="84" t="inlineStr">
        <is>
          <t>rate card DB (price list 2026)</t>
        </is>
      </c>
    </row>
    <row r="101">
      <c r="A101" s="84" t="inlineStr">
        <is>
          <t>PLY-12-HDF</t>
        </is>
      </c>
      <c r="C101" s="85" t="n">
        <v>510418.04</v>
      </c>
      <c r="E101" s="84" t="inlineStr">
        <is>
          <t>IDR/sheet</t>
        </is>
      </c>
      <c r="F101" s="84" t="inlineStr">
        <is>
          <t>rate card DB (price list 2026)</t>
        </is>
      </c>
    </row>
    <row r="102">
      <c r="A102" s="84" t="inlineStr">
        <is>
          <t>PLY-12-HSF</t>
        </is>
      </c>
      <c r="C102" s="85" t="n">
        <v>362709.02</v>
      </c>
      <c r="E102" s="84" t="inlineStr">
        <is>
          <t>IDR/sheet</t>
        </is>
      </c>
      <c r="F102" s="84" t="inlineStr">
        <is>
          <t>rate card DB (price list 2026)</t>
        </is>
      </c>
    </row>
    <row r="103">
      <c r="A103" s="84" t="inlineStr">
        <is>
          <t>PLY-12-ODF</t>
        </is>
      </c>
      <c r="C103" s="85" t="n">
        <v>1016474.04</v>
      </c>
      <c r="E103" s="84" t="inlineStr">
        <is>
          <t>IDR/sheet</t>
        </is>
      </c>
      <c r="F103" s="84" t="inlineStr">
        <is>
          <t>rate card DB (price list 2026)</t>
        </is>
      </c>
    </row>
    <row r="104">
      <c r="A104" s="84" t="inlineStr">
        <is>
          <t>PLY-12-OSF</t>
        </is>
      </c>
      <c r="C104" s="85" t="n">
        <v>615737.02</v>
      </c>
      <c r="E104" s="84" t="inlineStr">
        <is>
          <t>IDR/sheet</t>
        </is>
      </c>
      <c r="F104" s="84" t="inlineStr">
        <is>
          <t>rate card DB (price list 2026)</t>
        </is>
      </c>
    </row>
    <row r="105">
      <c r="A105" s="84" t="inlineStr">
        <is>
          <t>PLY-12-SDF</t>
        </is>
      </c>
      <c r="C105" s="85" t="n">
        <v>689026.04</v>
      </c>
      <c r="E105" s="84" t="inlineStr">
        <is>
          <t>IDR/sheet</t>
        </is>
      </c>
      <c r="F105" s="84" t="inlineStr">
        <is>
          <t>rate card DB (price list 2026)</t>
        </is>
      </c>
    </row>
    <row r="106">
      <c r="A106" s="84" t="inlineStr">
        <is>
          <t>PLY-12-SSF</t>
        </is>
      </c>
      <c r="C106" s="85" t="n">
        <v>452013.02</v>
      </c>
      <c r="E106" s="84" t="inlineStr">
        <is>
          <t>IDR/sheet</t>
        </is>
      </c>
      <c r="F106" s="84" t="inlineStr">
        <is>
          <t>rate card DB (price list 2026)</t>
        </is>
      </c>
    </row>
    <row r="107">
      <c r="A107" s="84" t="inlineStr">
        <is>
          <t>PLY-12-WDF</t>
        </is>
      </c>
      <c r="C107" s="85" t="n">
        <v>1105778.04</v>
      </c>
      <c r="E107" s="84" t="inlineStr">
        <is>
          <t>IDR/sheet</t>
        </is>
      </c>
      <c r="F107" s="84" t="inlineStr">
        <is>
          <t>rate card DB (price list 2026)</t>
        </is>
      </c>
    </row>
    <row r="108">
      <c r="A108" s="84" t="inlineStr">
        <is>
          <t>PLY-12-WSF</t>
        </is>
      </c>
      <c r="C108" s="85" t="n">
        <v>660389.02</v>
      </c>
      <c r="E108" s="84" t="inlineStr">
        <is>
          <t>IDR/sheet</t>
        </is>
      </c>
      <c r="F108" s="84" t="inlineStr">
        <is>
          <t>rate card DB (price list 2026)</t>
        </is>
      </c>
    </row>
    <row r="109">
      <c r="A109" s="84" t="inlineStr">
        <is>
          <t>PLY-15-CDF</t>
        </is>
      </c>
      <c r="C109" s="85" t="n">
        <v>763794.04</v>
      </c>
      <c r="E109" s="84" t="inlineStr">
        <is>
          <t>IDR/sheet</t>
        </is>
      </c>
      <c r="F109" s="84" t="inlineStr">
        <is>
          <t>rate card DB (price list 2026)</t>
        </is>
      </c>
    </row>
    <row r="110">
      <c r="A110" s="84" t="inlineStr">
        <is>
          <t>PLY-15-CSF</t>
        </is>
      </c>
      <c r="C110" s="85" t="n">
        <v>511897.02</v>
      </c>
      <c r="E110" s="84" t="inlineStr">
        <is>
          <t>IDR/sheet</t>
        </is>
      </c>
      <c r="F110" s="84" t="inlineStr">
        <is>
          <t>rate card DB (price list 2026)</t>
        </is>
      </c>
    </row>
    <row r="111">
      <c r="A111" s="84" t="inlineStr">
        <is>
          <t>PLY-15-HDF</t>
        </is>
      </c>
      <c r="C111" s="85" t="n">
        <v>555418.04</v>
      </c>
      <c r="E111" s="84" t="inlineStr">
        <is>
          <t>IDR/sheet</t>
        </is>
      </c>
      <c r="F111" s="84" t="inlineStr">
        <is>
          <t>rate card DB (price list 2026)</t>
        </is>
      </c>
    </row>
    <row r="112">
      <c r="A112" s="84" t="inlineStr">
        <is>
          <t>PLY-15-HSF</t>
        </is>
      </c>
      <c r="C112" s="85" t="n">
        <v>407709.02</v>
      </c>
      <c r="E112" s="84" t="inlineStr">
        <is>
          <t>IDR/sheet</t>
        </is>
      </c>
      <c r="F112" s="84" t="inlineStr">
        <is>
          <t>rate card DB (price list 2026)</t>
        </is>
      </c>
    </row>
    <row r="113">
      <c r="A113" s="84" t="inlineStr">
        <is>
          <t>PLY-15-ODF</t>
        </is>
      </c>
      <c r="C113" s="85" t="n">
        <v>1061474.04</v>
      </c>
      <c r="E113" s="84" t="inlineStr">
        <is>
          <t>IDR/sheet</t>
        </is>
      </c>
      <c r="F113" s="84" t="inlineStr">
        <is>
          <t>rate card DB (price list 2026)</t>
        </is>
      </c>
    </row>
    <row r="114">
      <c r="A114" s="84" t="inlineStr">
        <is>
          <t>PLY-15-OSF</t>
        </is>
      </c>
      <c r="C114" s="85" t="n">
        <v>660737.02</v>
      </c>
      <c r="E114" s="84" t="inlineStr">
        <is>
          <t>IDR/sheet</t>
        </is>
      </c>
      <c r="F114" s="84" t="inlineStr">
        <is>
          <t>rate card DB (price list 2026)</t>
        </is>
      </c>
    </row>
    <row r="115">
      <c r="A115" s="84" t="inlineStr">
        <is>
          <t>PLY-15-SDF</t>
        </is>
      </c>
      <c r="C115" s="85" t="n">
        <v>734026.04</v>
      </c>
      <c r="E115" s="84" t="inlineStr">
        <is>
          <t>IDR/sheet</t>
        </is>
      </c>
      <c r="F115" s="84" t="inlineStr">
        <is>
          <t>rate card DB (price list 2026)</t>
        </is>
      </c>
    </row>
    <row r="116">
      <c r="A116" s="84" t="inlineStr">
        <is>
          <t>PLY-15-SSF</t>
        </is>
      </c>
      <c r="C116" s="85" t="n">
        <v>497013.02</v>
      </c>
      <c r="E116" s="84" t="inlineStr">
        <is>
          <t>IDR/sheet</t>
        </is>
      </c>
      <c r="F116" s="84" t="inlineStr">
        <is>
          <t>rate card DB (price list 2026)</t>
        </is>
      </c>
    </row>
    <row r="117">
      <c r="A117" s="84" t="inlineStr">
        <is>
          <t>PLY-15-WDF</t>
        </is>
      </c>
      <c r="C117" s="85" t="n">
        <v>1150778.04</v>
      </c>
      <c r="E117" s="84" t="inlineStr">
        <is>
          <t>IDR/sheet</t>
        </is>
      </c>
      <c r="F117" s="84" t="inlineStr">
        <is>
          <t>rate card DB (price list 2026)</t>
        </is>
      </c>
    </row>
    <row r="118">
      <c r="A118" s="84" t="inlineStr">
        <is>
          <t>PLY-15-WSF</t>
        </is>
      </c>
      <c r="C118" s="85" t="n">
        <v>705389.02</v>
      </c>
      <c r="E118" s="84" t="inlineStr">
        <is>
          <t>IDR/sheet</t>
        </is>
      </c>
      <c r="F118" s="84" t="inlineStr">
        <is>
          <t>rate card DB (price list 2026)</t>
        </is>
      </c>
    </row>
    <row r="119">
      <c r="A119" s="84" t="inlineStr">
        <is>
          <t>PLY-18-CDF</t>
        </is>
      </c>
      <c r="C119" s="85" t="n">
        <v>798794.04</v>
      </c>
      <c r="E119" s="84" t="inlineStr">
        <is>
          <t>IDR/sheet</t>
        </is>
      </c>
      <c r="F119" s="84" t="inlineStr">
        <is>
          <t>rate card DB (price list 2026)</t>
        </is>
      </c>
    </row>
    <row r="120">
      <c r="A120" s="84" t="inlineStr">
        <is>
          <t>PLY-18-CSF</t>
        </is>
      </c>
      <c r="C120" s="85" t="n">
        <v>546897.02</v>
      </c>
      <c r="E120" s="84" t="inlineStr">
        <is>
          <t>IDR/sheet</t>
        </is>
      </c>
      <c r="F120" s="84" t="inlineStr">
        <is>
          <t>rate card DB (price list 2026)</t>
        </is>
      </c>
    </row>
    <row r="121">
      <c r="A121" s="84" t="inlineStr">
        <is>
          <t>PLY-18-HDF</t>
        </is>
      </c>
      <c r="C121" s="85" t="n">
        <v>590418.04</v>
      </c>
      <c r="E121" s="84" t="inlineStr">
        <is>
          <t>IDR/sheet</t>
        </is>
      </c>
      <c r="F121" s="84" t="inlineStr">
        <is>
          <t>rate card DB (price list 2026)</t>
        </is>
      </c>
    </row>
    <row r="122">
      <c r="A122" s="84" t="inlineStr">
        <is>
          <t>PLY-18-HSF</t>
        </is>
      </c>
      <c r="C122" s="85" t="n">
        <v>442709.02</v>
      </c>
      <c r="E122" s="84" t="inlineStr">
        <is>
          <t>IDR/sheet</t>
        </is>
      </c>
      <c r="F122" s="84" t="inlineStr">
        <is>
          <t>rate card DB (price list 2026)</t>
        </is>
      </c>
    </row>
    <row r="123">
      <c r="A123" s="84" t="inlineStr">
        <is>
          <t>PLY-18-ODF</t>
        </is>
      </c>
      <c r="C123" s="85" t="n">
        <v>1096474.04</v>
      </c>
      <c r="E123" s="84" t="inlineStr">
        <is>
          <t>IDR/sheet</t>
        </is>
      </c>
      <c r="F123" s="84" t="inlineStr">
        <is>
          <t>rate card DB (price list 2026)</t>
        </is>
      </c>
    </row>
    <row r="124">
      <c r="A124" s="84" t="inlineStr">
        <is>
          <t>PLY-18-OSF</t>
        </is>
      </c>
      <c r="C124" s="85" t="n">
        <v>695737.02</v>
      </c>
      <c r="E124" s="84" t="inlineStr">
        <is>
          <t>IDR/sheet</t>
        </is>
      </c>
      <c r="F124" s="84" t="inlineStr">
        <is>
          <t>rate card DB (price list 2026)</t>
        </is>
      </c>
    </row>
    <row r="125">
      <c r="A125" s="84" t="inlineStr">
        <is>
          <t>PLY-18-SDF</t>
        </is>
      </c>
      <c r="C125" s="85" t="n">
        <v>769026.04</v>
      </c>
      <c r="E125" s="84" t="inlineStr">
        <is>
          <t>IDR/sheet</t>
        </is>
      </c>
      <c r="F125" s="84" t="inlineStr">
        <is>
          <t>rate card DB (price list 2026)</t>
        </is>
      </c>
    </row>
    <row r="126">
      <c r="A126" s="84" t="inlineStr">
        <is>
          <t>PLY-18-SSF</t>
        </is>
      </c>
      <c r="C126" s="85" t="n">
        <v>532013.02</v>
      </c>
      <c r="E126" s="84" t="inlineStr">
        <is>
          <t>IDR/sheet</t>
        </is>
      </c>
      <c r="F126" s="84" t="inlineStr">
        <is>
          <t>rate card DB (price list 2026)</t>
        </is>
      </c>
    </row>
    <row r="127">
      <c r="A127" s="84" t="inlineStr">
        <is>
          <t>PLY-18-WDF</t>
        </is>
      </c>
      <c r="C127" s="85" t="n">
        <v>1185778.04</v>
      </c>
      <c r="E127" s="84" t="inlineStr">
        <is>
          <t>IDR/sheet</t>
        </is>
      </c>
      <c r="F127" s="84" t="inlineStr">
        <is>
          <t>rate card DB (price list 2026)</t>
        </is>
      </c>
    </row>
    <row r="128">
      <c r="A128" s="84" t="inlineStr">
        <is>
          <t>PLY-18-WSF</t>
        </is>
      </c>
      <c r="C128" s="85" t="n">
        <v>740389.02</v>
      </c>
      <c r="E128" s="84" t="inlineStr">
        <is>
          <t>IDR/sheet</t>
        </is>
      </c>
      <c r="F128" s="84" t="inlineStr">
        <is>
          <t>rate card DB (price list 2026)</t>
        </is>
      </c>
    </row>
    <row r="129">
      <c r="A129" s="84" t="inlineStr">
        <is>
          <t>PLY-24-CDF</t>
        </is>
      </c>
      <c r="C129" s="85" t="n">
        <v>878794.04</v>
      </c>
      <c r="E129" s="84" t="inlineStr">
        <is>
          <t>IDR/sheet</t>
        </is>
      </c>
      <c r="F129" s="84" t="inlineStr">
        <is>
          <t>rate card DB (price list 2026)</t>
        </is>
      </c>
    </row>
    <row r="130">
      <c r="A130" s="84" t="inlineStr">
        <is>
          <t>PLY-24-CSF</t>
        </is>
      </c>
      <c r="C130" s="85" t="n">
        <v>626897.02</v>
      </c>
      <c r="E130" s="84" t="inlineStr">
        <is>
          <t>IDR/sheet</t>
        </is>
      </c>
      <c r="F130" s="84" t="inlineStr">
        <is>
          <t>rate card DB (price list 2026)</t>
        </is>
      </c>
    </row>
    <row r="131">
      <c r="A131" s="84" t="inlineStr">
        <is>
          <t>PLY-24-HDF</t>
        </is>
      </c>
      <c r="C131" s="85" t="n">
        <v>670418.04</v>
      </c>
      <c r="E131" s="84" t="inlineStr">
        <is>
          <t>IDR/sheet</t>
        </is>
      </c>
      <c r="F131" s="84" t="inlineStr">
        <is>
          <t>rate card DB (price list 2026)</t>
        </is>
      </c>
    </row>
    <row r="132">
      <c r="A132" s="84" t="inlineStr">
        <is>
          <t>PLY-24-HSF</t>
        </is>
      </c>
      <c r="C132" s="85" t="n">
        <v>522709.02</v>
      </c>
      <c r="E132" s="84" t="inlineStr">
        <is>
          <t>IDR/sheet</t>
        </is>
      </c>
      <c r="F132" s="84" t="inlineStr">
        <is>
          <t>rate card DB (price list 2026)</t>
        </is>
      </c>
    </row>
    <row r="133">
      <c r="A133" s="84" t="inlineStr">
        <is>
          <t>PLY-24-ODF</t>
        </is>
      </c>
      <c r="C133" s="85" t="n">
        <v>1176474.04</v>
      </c>
      <c r="E133" s="84" t="inlineStr">
        <is>
          <t>IDR/sheet</t>
        </is>
      </c>
      <c r="F133" s="84" t="inlineStr">
        <is>
          <t>rate card DB (price list 2026)</t>
        </is>
      </c>
    </row>
    <row r="134">
      <c r="A134" s="84" t="inlineStr">
        <is>
          <t>PLY-24-OSF</t>
        </is>
      </c>
      <c r="C134" s="85" t="n">
        <v>775737.02</v>
      </c>
      <c r="E134" s="84" t="inlineStr">
        <is>
          <t>IDR/sheet</t>
        </is>
      </c>
      <c r="F134" s="84" t="inlineStr">
        <is>
          <t>rate card DB (price list 2026)</t>
        </is>
      </c>
    </row>
    <row r="135">
      <c r="A135" s="84" t="inlineStr">
        <is>
          <t>PLY-24-SDF</t>
        </is>
      </c>
      <c r="C135" s="85" t="n">
        <v>849026.04</v>
      </c>
      <c r="E135" s="84" t="inlineStr">
        <is>
          <t>IDR/sheet</t>
        </is>
      </c>
      <c r="F135" s="84" t="inlineStr">
        <is>
          <t>rate card DB (price list 2026)</t>
        </is>
      </c>
    </row>
    <row r="136">
      <c r="A136" s="84" t="inlineStr">
        <is>
          <t>PLY-24-SSF</t>
        </is>
      </c>
      <c r="C136" s="85" t="n">
        <v>612013.02</v>
      </c>
      <c r="E136" s="84" t="inlineStr">
        <is>
          <t>IDR/sheet</t>
        </is>
      </c>
      <c r="F136" s="84" t="inlineStr">
        <is>
          <t>rate card DB (price list 2026)</t>
        </is>
      </c>
    </row>
    <row r="137">
      <c r="A137" s="84" t="inlineStr">
        <is>
          <t>PLY-24-WDF</t>
        </is>
      </c>
      <c r="C137" s="85" t="n">
        <v>1265778.04</v>
      </c>
      <c r="E137" s="84" t="inlineStr">
        <is>
          <t>IDR/sheet</t>
        </is>
      </c>
      <c r="F137" s="84" t="inlineStr">
        <is>
          <t>rate card DB (price list 2026)</t>
        </is>
      </c>
    </row>
    <row r="138">
      <c r="A138" s="84" t="inlineStr">
        <is>
          <t>PLY-24-WSF</t>
        </is>
      </c>
      <c r="C138" s="85" t="n">
        <v>820389.02</v>
      </c>
      <c r="E138" s="84" t="inlineStr">
        <is>
          <t>IDR/sheet</t>
        </is>
      </c>
      <c r="F138" s="84" t="inlineStr">
        <is>
          <t>rate card DB (price list 2026)</t>
        </is>
      </c>
    </row>
    <row r="139">
      <c r="A139" s="84" t="inlineStr">
        <is>
          <t>PLY-3-CDF</t>
        </is>
      </c>
      <c r="C139" s="85" t="n">
        <v>581294.04</v>
      </c>
      <c r="E139" s="84" t="inlineStr">
        <is>
          <t>IDR/sheet</t>
        </is>
      </c>
      <c r="F139" s="84" t="inlineStr">
        <is>
          <t>rate card DB (price list 2026)</t>
        </is>
      </c>
    </row>
    <row r="140">
      <c r="A140" s="84" t="inlineStr">
        <is>
          <t>PLY-3-CSF</t>
        </is>
      </c>
      <c r="C140" s="85" t="n">
        <v>329397.02</v>
      </c>
      <c r="E140" s="84" t="inlineStr">
        <is>
          <t>IDR/sheet</t>
        </is>
      </c>
      <c r="F140" s="84" t="inlineStr">
        <is>
          <t>rate card DB (price list 2026)</t>
        </is>
      </c>
    </row>
    <row r="141">
      <c r="A141" s="84" t="inlineStr">
        <is>
          <t>PLY-3-HDF</t>
        </is>
      </c>
      <c r="C141" s="85" t="n">
        <v>372918.04</v>
      </c>
      <c r="E141" s="84" t="inlineStr">
        <is>
          <t>IDR/sheet</t>
        </is>
      </c>
      <c r="F141" s="84" t="inlineStr">
        <is>
          <t>rate card DB (price list 2026)</t>
        </is>
      </c>
    </row>
    <row r="142">
      <c r="A142" s="84" t="inlineStr">
        <is>
          <t>PLY-3-HSF</t>
        </is>
      </c>
      <c r="C142" s="85" t="n">
        <v>225209.02</v>
      </c>
      <c r="E142" s="84" t="inlineStr">
        <is>
          <t>IDR/sheet</t>
        </is>
      </c>
      <c r="F142" s="84" t="inlineStr">
        <is>
          <t>rate card DB (price list 2026)</t>
        </is>
      </c>
    </row>
    <row r="143">
      <c r="A143" s="84" t="inlineStr">
        <is>
          <t>PLY-3-ODF</t>
        </is>
      </c>
      <c r="C143" s="85" t="n">
        <v>878974.04</v>
      </c>
      <c r="E143" s="84" t="inlineStr">
        <is>
          <t>IDR/sheet</t>
        </is>
      </c>
      <c r="F143" s="84" t="inlineStr">
        <is>
          <t>rate card DB (price list 2026)</t>
        </is>
      </c>
    </row>
    <row r="144">
      <c r="A144" s="84" t="inlineStr">
        <is>
          <t>PLY-3-OSF</t>
        </is>
      </c>
      <c r="C144" s="85" t="n">
        <v>478237.02</v>
      </c>
      <c r="E144" s="84" t="inlineStr">
        <is>
          <t>IDR/sheet</t>
        </is>
      </c>
      <c r="F144" s="84" t="inlineStr">
        <is>
          <t>rate card DB (price list 2026)</t>
        </is>
      </c>
    </row>
    <row r="145">
      <c r="A145" s="84" t="inlineStr">
        <is>
          <t>PLY-3-SDF</t>
        </is>
      </c>
      <c r="C145" s="85" t="n">
        <v>551526.04</v>
      </c>
      <c r="E145" s="84" t="inlineStr">
        <is>
          <t>IDR/sheet</t>
        </is>
      </c>
      <c r="F145" s="84" t="inlineStr">
        <is>
          <t>rate card DB (price list 2026)</t>
        </is>
      </c>
    </row>
    <row r="146">
      <c r="A146" s="84" t="inlineStr">
        <is>
          <t>PLY-3-SSF</t>
        </is>
      </c>
      <c r="C146" s="85" t="n">
        <v>314513.02</v>
      </c>
      <c r="E146" s="84" t="inlineStr">
        <is>
          <t>IDR/sheet</t>
        </is>
      </c>
      <c r="F146" s="84" t="inlineStr">
        <is>
          <t>rate card DB (price list 2026)</t>
        </is>
      </c>
    </row>
    <row r="147">
      <c r="A147" s="84" t="inlineStr">
        <is>
          <t>PLY-3-WDF</t>
        </is>
      </c>
      <c r="C147" s="85" t="n">
        <v>968278.04</v>
      </c>
      <c r="E147" s="84" t="inlineStr">
        <is>
          <t>IDR/sheet</t>
        </is>
      </c>
      <c r="F147" s="84" t="inlineStr">
        <is>
          <t>rate card DB (price list 2026)</t>
        </is>
      </c>
    </row>
    <row r="148">
      <c r="A148" s="84" t="inlineStr">
        <is>
          <t>PLY-3-WSF</t>
        </is>
      </c>
      <c r="C148" s="85" t="n">
        <v>522889.02</v>
      </c>
      <c r="E148" s="84" t="inlineStr">
        <is>
          <t>IDR/sheet</t>
        </is>
      </c>
      <c r="F148" s="84" t="inlineStr">
        <is>
          <t>rate card DB (price list 2026)</t>
        </is>
      </c>
    </row>
    <row r="149">
      <c r="A149" s="84" t="inlineStr">
        <is>
          <t>PLY-6-CDF</t>
        </is>
      </c>
      <c r="C149" s="85" t="n">
        <v>618794.04</v>
      </c>
      <c r="E149" s="84" t="inlineStr">
        <is>
          <t>IDR/sheet</t>
        </is>
      </c>
      <c r="F149" s="84" t="inlineStr">
        <is>
          <t>rate card DB (price list 2026)</t>
        </is>
      </c>
    </row>
    <row r="150">
      <c r="A150" s="84" t="inlineStr">
        <is>
          <t>PLY-6-CSF</t>
        </is>
      </c>
      <c r="C150" s="85" t="n">
        <v>366897.02</v>
      </c>
      <c r="E150" s="84" t="inlineStr">
        <is>
          <t>IDR/sheet</t>
        </is>
      </c>
      <c r="F150" s="84" t="inlineStr">
        <is>
          <t>rate card DB (price list 2026)</t>
        </is>
      </c>
    </row>
    <row r="151">
      <c r="A151" s="84" t="inlineStr">
        <is>
          <t>PLY-6-HDF</t>
        </is>
      </c>
      <c r="C151" s="85" t="n">
        <v>410418.04</v>
      </c>
      <c r="E151" s="84" t="inlineStr">
        <is>
          <t>IDR/sheet</t>
        </is>
      </c>
      <c r="F151" s="84" t="inlineStr">
        <is>
          <t>rate card DB (price list 2026)</t>
        </is>
      </c>
    </row>
    <row r="152">
      <c r="A152" s="84" t="inlineStr">
        <is>
          <t>PLY-6-HSF</t>
        </is>
      </c>
      <c r="C152" s="85" t="n">
        <v>262709.02</v>
      </c>
      <c r="E152" s="84" t="inlineStr">
        <is>
          <t>IDR/sheet</t>
        </is>
      </c>
      <c r="F152" s="84" t="inlineStr">
        <is>
          <t>rate card DB (price list 2026)</t>
        </is>
      </c>
    </row>
    <row r="153">
      <c r="A153" s="84" t="inlineStr">
        <is>
          <t>PLY-6-ODF</t>
        </is>
      </c>
      <c r="C153" s="85" t="n">
        <v>916474.04</v>
      </c>
      <c r="E153" s="84" t="inlineStr">
        <is>
          <t>IDR/sheet</t>
        </is>
      </c>
      <c r="F153" s="84" t="inlineStr">
        <is>
          <t>rate card DB (price list 2026)</t>
        </is>
      </c>
    </row>
    <row r="154">
      <c r="A154" s="84" t="inlineStr">
        <is>
          <t>PLY-6-OSF</t>
        </is>
      </c>
      <c r="C154" s="85" t="n">
        <v>515737.02</v>
      </c>
      <c r="E154" s="84" t="inlineStr">
        <is>
          <t>IDR/sheet</t>
        </is>
      </c>
      <c r="F154" s="84" t="inlineStr">
        <is>
          <t>rate card DB (price list 2026)</t>
        </is>
      </c>
    </row>
    <row r="155">
      <c r="A155" s="84" t="inlineStr">
        <is>
          <t>PLY-6-SDF</t>
        </is>
      </c>
      <c r="C155" s="85" t="n">
        <v>589026.04</v>
      </c>
      <c r="E155" s="84" t="inlineStr">
        <is>
          <t>IDR/sheet</t>
        </is>
      </c>
      <c r="F155" s="84" t="inlineStr">
        <is>
          <t>rate card DB (price list 2026)</t>
        </is>
      </c>
    </row>
    <row r="156">
      <c r="A156" s="84" t="inlineStr">
        <is>
          <t>PLY-6-SSF</t>
        </is>
      </c>
      <c r="C156" s="85" t="n">
        <v>352013.02</v>
      </c>
      <c r="E156" s="84" t="inlineStr">
        <is>
          <t>IDR/sheet</t>
        </is>
      </c>
      <c r="F156" s="84" t="inlineStr">
        <is>
          <t>rate card DB (price list 2026)</t>
        </is>
      </c>
    </row>
    <row r="157">
      <c r="A157" s="84" t="inlineStr">
        <is>
          <t>PLY-6-WDF</t>
        </is>
      </c>
      <c r="C157" s="85" t="n">
        <v>1005778.04</v>
      </c>
      <c r="E157" s="84" t="inlineStr">
        <is>
          <t>IDR/sheet</t>
        </is>
      </c>
      <c r="F157" s="84" t="inlineStr">
        <is>
          <t>rate card DB (price list 2026)</t>
        </is>
      </c>
    </row>
    <row r="158">
      <c r="A158" s="84" t="inlineStr">
        <is>
          <t>PLY-6-WSF</t>
        </is>
      </c>
      <c r="C158" s="85" t="n">
        <v>560389.02</v>
      </c>
      <c r="E158" s="84" t="inlineStr">
        <is>
          <t>IDR/sheet</t>
        </is>
      </c>
      <c r="F158" s="84" t="inlineStr">
        <is>
          <t>rate card DB (price list 2026)</t>
        </is>
      </c>
    </row>
    <row r="159">
      <c r="A159" s="84" t="inlineStr">
        <is>
          <t>PLY-9-CDF</t>
        </is>
      </c>
      <c r="C159" s="85" t="n">
        <v>676294.04</v>
      </c>
      <c r="E159" s="84" t="inlineStr">
        <is>
          <t>IDR/sheet</t>
        </is>
      </c>
      <c r="F159" s="84" t="inlineStr">
        <is>
          <t>rate card DB (price list 2026)</t>
        </is>
      </c>
    </row>
    <row r="160">
      <c r="A160" s="84" t="inlineStr">
        <is>
          <t>PLY-9-CSF</t>
        </is>
      </c>
      <c r="C160" s="85" t="n">
        <v>424397.02</v>
      </c>
      <c r="E160" s="84" t="inlineStr">
        <is>
          <t>IDR/sheet</t>
        </is>
      </c>
      <c r="F160" s="84" t="inlineStr">
        <is>
          <t>rate card DB (price list 2026)</t>
        </is>
      </c>
    </row>
    <row r="161">
      <c r="A161" s="84" t="inlineStr">
        <is>
          <t>PLY-9-HDF</t>
        </is>
      </c>
      <c r="C161" s="85" t="n">
        <v>467918.04</v>
      </c>
      <c r="E161" s="84" t="inlineStr">
        <is>
          <t>IDR/sheet</t>
        </is>
      </c>
      <c r="F161" s="84" t="inlineStr">
        <is>
          <t>rate card DB (price list 2026)</t>
        </is>
      </c>
    </row>
    <row r="162">
      <c r="A162" s="84" t="inlineStr">
        <is>
          <t>PLY-9-HSF</t>
        </is>
      </c>
      <c r="C162" s="85" t="n">
        <v>320209.02</v>
      </c>
      <c r="E162" s="84" t="inlineStr">
        <is>
          <t>IDR/sheet</t>
        </is>
      </c>
      <c r="F162" s="84" t="inlineStr">
        <is>
          <t>rate card DB (price list 2026)</t>
        </is>
      </c>
    </row>
    <row r="163">
      <c r="A163" s="84" t="inlineStr">
        <is>
          <t>PLY-9-ODF</t>
        </is>
      </c>
      <c r="C163" s="85" t="n">
        <v>973974.04</v>
      </c>
      <c r="E163" s="84" t="inlineStr">
        <is>
          <t>IDR/sheet</t>
        </is>
      </c>
      <c r="F163" s="84" t="inlineStr">
        <is>
          <t>rate card DB (price list 2026)</t>
        </is>
      </c>
    </row>
    <row r="164">
      <c r="A164" s="84" t="inlineStr">
        <is>
          <t>PLY-9-OSF</t>
        </is>
      </c>
      <c r="C164" s="85" t="n">
        <v>573237.02</v>
      </c>
      <c r="E164" s="84" t="inlineStr">
        <is>
          <t>IDR/sheet</t>
        </is>
      </c>
      <c r="F164" s="84" t="inlineStr">
        <is>
          <t>rate card DB (price list 2026)</t>
        </is>
      </c>
    </row>
    <row r="165">
      <c r="A165" s="84" t="inlineStr">
        <is>
          <t>PLY-9-SDF</t>
        </is>
      </c>
      <c r="C165" s="85" t="n">
        <v>646526.04</v>
      </c>
      <c r="E165" s="84" t="inlineStr">
        <is>
          <t>IDR/sheet</t>
        </is>
      </c>
      <c r="F165" s="84" t="inlineStr">
        <is>
          <t>rate card DB (price list 2026)</t>
        </is>
      </c>
    </row>
    <row r="166">
      <c r="A166" s="84" t="inlineStr">
        <is>
          <t>PLY-9-SSF</t>
        </is>
      </c>
      <c r="C166" s="85" t="n">
        <v>409513.02</v>
      </c>
      <c r="E166" s="84" t="inlineStr">
        <is>
          <t>IDR/sheet</t>
        </is>
      </c>
      <c r="F166" s="84" t="inlineStr">
        <is>
          <t>rate card DB (price list 2026)</t>
        </is>
      </c>
    </row>
    <row r="167">
      <c r="A167" s="84" t="inlineStr">
        <is>
          <t>PLY-9-WDF</t>
        </is>
      </c>
      <c r="C167" s="85" t="n">
        <v>1063278.04</v>
      </c>
      <c r="E167" s="84" t="inlineStr">
        <is>
          <t>IDR/sheet</t>
        </is>
      </c>
      <c r="F167" s="84" t="inlineStr">
        <is>
          <t>rate card DB (price list 2026)</t>
        </is>
      </c>
    </row>
    <row r="168">
      <c r="A168" s="84" t="inlineStr">
        <is>
          <t>PLY-9-WSF</t>
        </is>
      </c>
      <c r="C168" s="85" t="n">
        <v>617889.02</v>
      </c>
      <c r="E168" s="84" t="inlineStr">
        <is>
          <t>IDR/sheet</t>
        </is>
      </c>
      <c r="F168" s="84" t="inlineStr">
        <is>
          <t>rate card DB (price list 2026)</t>
        </is>
      </c>
    </row>
    <row r="170">
      <c r="A170" s="84" t="inlineStr">
        <is>
          <t>LANDED BOARD PRICES: Linyi Consmos Imp.&amp;Exp. Co., Ltd., quotation 14 Oct 2026. CIF Semarang plus port, clearance and trucking to Kudus. Value = CIF USD × FX_USD + LAND_40HC ÷ sheets/box.</t>
        </is>
      </c>
    </row>
    <row r="171">
      <c r="A171" s="84" t="inlineStr">
        <is>
          <t>code</t>
        </is>
      </c>
      <c r="B171" s="84" t="inlineStr">
        <is>
          <t>Description</t>
        </is>
      </c>
      <c r="C171" s="85" t="inlineStr">
        <is>
          <t>Value</t>
        </is>
      </c>
      <c r="E171" s="84" t="inlineStr">
        <is>
          <t>Unit</t>
        </is>
      </c>
      <c r="F171" s="84" t="inlineStr">
        <is>
          <t>Source</t>
        </is>
      </c>
      <c r="G171" s="86" t="inlineStr">
        <is>
          <t>Quote USD / sheet (landed Kudus)</t>
        </is>
      </c>
      <c r="H171" s="87" t="inlineStr">
        <is>
          <t>Quote IDR / sheet (USD × FX_USD)</t>
        </is>
      </c>
      <c r="I171" s="79" t="inlineStr">
        <is>
          <t>CIF USD / sheet</t>
        </is>
      </c>
      <c r="J171" s="79" t="inlineStr">
        <is>
          <t>Sheets / 40' HC</t>
        </is>
      </c>
    </row>
    <row r="172">
      <c r="A172" s="84" t="inlineStr">
        <is>
          <t>FX_USD</t>
        </is>
      </c>
      <c r="B172" s="84" t="inlineStr">
        <is>
          <t>Exchange rate</t>
        </is>
      </c>
      <c r="C172" s="85" t="n">
        <v>18040</v>
      </c>
      <c r="E172" s="84" t="inlineStr">
        <is>
          <t>IDR/USD</t>
        </is>
      </c>
      <c r="F172" s="84" t="inlineStr">
        <is>
          <t>RFQ file, Landing Assumptions. Change to the booked rate.</t>
        </is>
      </c>
    </row>
    <row r="173">
      <c r="A173" s="84" t="inlineStr">
        <is>
          <t>LAND_40HC</t>
        </is>
      </c>
      <c r="B173" s="84" t="inlineStr">
        <is>
          <t>Landing cost per 40' HC: line local charges, THC, lift-off, PPJK (BC 2.3), documents, trucking Tg. Emas to Kudus, 20% red-lane allowance</t>
        </is>
      </c>
      <c r="C173" s="85" t="n">
        <v>13350000</v>
      </c>
      <c r="E173" s="84" t="inlineStr">
        <is>
          <t>IDR/box</t>
        </is>
      </c>
      <c r="F173" s="84" t="inlineStr">
        <is>
          <t>RFQ file, Landing Assumptions</t>
        </is>
      </c>
    </row>
    <row r="174">
      <c r="A174" s="84" t="inlineStr">
        <is>
          <t>PANEL_GRADE</t>
        </is>
      </c>
      <c r="B174" s="84" t="inlineStr">
        <is>
          <t>Board grade feeding the PLY-x and MDF-x rates (type E2, E0 or CARB)</t>
        </is>
      </c>
      <c r="C174" s="85" t="inlineStr">
        <is>
          <t>E2</t>
        </is>
      </c>
      <c r="E174" s="84" t="inlineStr">
        <is>
          <t>text</t>
        </is>
      </c>
      <c r="F174" s="84" t="inlineStr">
        <is>
          <t>CARB Phase 2 / TSCA Title VI: required for US hotel projects, accepted for EU</t>
        </is>
      </c>
    </row>
    <row r="175">
      <c r="A175" s="84" t="inlineStr">
        <is>
          <t>VEN_M_ADD</t>
        </is>
      </c>
      <c r="B175" s="84" t="inlineStr">
        <is>
          <t>Mindi veneer added per face inside the PLY-x-MSF / MDF rates</t>
        </is>
      </c>
      <c r="C175" s="85" t="n">
        <v>147709.02</v>
      </c>
      <c r="E175" s="84" t="inlineStr">
        <is>
          <t>IDR/face</t>
        </is>
      </c>
      <c r="F175" s="84" t="inlineStr">
        <is>
          <t>Back-calculated from the 29 Sep rate card (PLY-x-MSF minus PLY-x-RAW). Not the same as VEN_MINDI_FACE.</t>
        </is>
      </c>
    </row>
    <row r="176">
      <c r="A176" s="84" t="inlineStr">
        <is>
          <t>VEN_T_ADD</t>
        </is>
      </c>
      <c r="B176" s="84" t="inlineStr">
        <is>
          <t>Teak veneer added per face inside the PLY-x-TSF / TDF rates</t>
        </is>
      </c>
      <c r="C176" s="85" t="n">
        <v>341201.02</v>
      </c>
      <c r="E176" s="84" t="inlineStr">
        <is>
          <t>IDR/face</t>
        </is>
      </c>
      <c r="F176" s="84" t="inlineStr">
        <is>
          <t>Back-calculated from the 29 Sep rate card (PLY-x-TSF minus PLY-x-RAW). Not the same as VEN_TEAK_FACE.</t>
        </is>
      </c>
    </row>
    <row r="178">
      <c r="A178" s="79" t="inlineStr">
        <is>
          <t>LND-PLY-E2-3</t>
        </is>
      </c>
      <c r="B178" s="79" t="inlineStr">
        <is>
          <t>Furniture plywood 3 mm, E2, poplar core, okoume face, landed Kudus</t>
        </is>
      </c>
      <c r="C178" s="88">
        <f>H178</f>
        <v/>
      </c>
      <c r="E178" s="79" t="inlineStr">
        <is>
          <t>IDR/sheet</t>
        </is>
      </c>
      <c r="F178" s="79" t="inlineStr">
        <is>
          <t>RFQ_MDF_Plywood_Landed_Kudus_Tala_Living.xlsx, Landed Rates sheet (Linyi Ocean quote 16 Oct 2026)</t>
        </is>
      </c>
      <c r="G178" s="86">
        <f>I178+$C$173/$C$172/J178</f>
        <v/>
      </c>
      <c r="H178" s="87">
        <f>G178*$C$172</f>
        <v/>
      </c>
      <c r="I178" s="86" t="n">
        <v>5.248</v>
      </c>
      <c r="J178" s="87" t="n">
        <v>5823</v>
      </c>
    </row>
    <row r="179">
      <c r="A179" s="79" t="inlineStr">
        <is>
          <t>LND-PLY-E2-6</t>
        </is>
      </c>
      <c r="B179" s="79" t="inlineStr">
        <is>
          <t>Furniture plywood 6 mm, E2, poplar core, okoume face, landed Kudus</t>
        </is>
      </c>
      <c r="C179" s="88">
        <f>H179</f>
        <v/>
      </c>
      <c r="E179" s="79" t="inlineStr">
        <is>
          <t>IDR/sheet</t>
        </is>
      </c>
      <c r="F179" s="79" t="inlineStr">
        <is>
          <t>RFQ_MDF_Plywood_Landed_Kudus_Tala_Living.xlsx, Landed Rates sheet (Linyi Ocean quote 16 Oct 2026)</t>
        </is>
      </c>
      <c r="G179" s="86">
        <f>I179+$C$173/$C$172/J179</f>
        <v/>
      </c>
      <c r="H179" s="87">
        <f>G179*$C$172</f>
        <v/>
      </c>
      <c r="I179" s="86" t="n">
        <v>7.779</v>
      </c>
      <c r="J179" s="87" t="n">
        <v>2911</v>
      </c>
    </row>
    <row r="180">
      <c r="A180" s="79" t="inlineStr">
        <is>
          <t>LND-PLY-E2-9</t>
        </is>
      </c>
      <c r="B180" s="79" t="inlineStr">
        <is>
          <t>Furniture plywood 9 mm, E2, poplar core, okoume face, landed Kudus</t>
        </is>
      </c>
      <c r="C180" s="88">
        <f>H180</f>
        <v/>
      </c>
      <c r="E180" s="79" t="inlineStr">
        <is>
          <t>IDR/sheet</t>
        </is>
      </c>
      <c r="F180" s="79" t="inlineStr">
        <is>
          <t>RFQ_MDF_Plywood_Landed_Kudus_Tala_Living.xlsx, Landed Rates sheet (Linyi Ocean quote 16 Oct 2026)</t>
        </is>
      </c>
      <c r="G180" s="86">
        <f>I180+$C$173/$C$172/J180</f>
        <v/>
      </c>
      <c r="H180" s="87">
        <f>G180*$C$172</f>
        <v/>
      </c>
      <c r="I180" s="86" t="n">
        <v>11.017</v>
      </c>
      <c r="J180" s="87" t="n">
        <v>1941</v>
      </c>
    </row>
    <row r="181">
      <c r="A181" s="79" t="inlineStr">
        <is>
          <t>LND-PLY-E2-12</t>
        </is>
      </c>
      <c r="B181" s="79" t="inlineStr">
        <is>
          <t>Furniture plywood 12 mm, E2, poplar core, okoume face, landed Kudus</t>
        </is>
      </c>
      <c r="C181" s="88">
        <f>H181</f>
        <v/>
      </c>
      <c r="E181" s="79" t="inlineStr">
        <is>
          <t>IDR/sheet</t>
        </is>
      </c>
      <c r="F181" s="79" t="inlineStr">
        <is>
          <t>RFQ_MDF_Plywood_Landed_Kudus_Tala_Living.xlsx, Landed Rates sheet (Linyi Ocean quote 16 Oct 2026)</t>
        </is>
      </c>
      <c r="G181" s="86">
        <f>I181+$C$173/$C$172/J181</f>
        <v/>
      </c>
      <c r="H181" s="87">
        <f>G181*$C$172</f>
        <v/>
      </c>
      <c r="I181" s="86" t="n">
        <v>14.144</v>
      </c>
      <c r="J181" s="87" t="n">
        <v>1456</v>
      </c>
    </row>
    <row r="182">
      <c r="A182" s="79" t="inlineStr">
        <is>
          <t>LND-PLY-E2-15</t>
        </is>
      </c>
      <c r="B182" s="79" t="inlineStr">
        <is>
          <t>Furniture plywood 15 mm, E2, poplar core, okoume face, landed Kudus</t>
        </is>
      </c>
      <c r="C182" s="88">
        <f>H182</f>
        <v/>
      </c>
      <c r="E182" s="79" t="inlineStr">
        <is>
          <t>IDR/sheet</t>
        </is>
      </c>
      <c r="F182" s="79" t="inlineStr">
        <is>
          <t>RFQ_MDF_Plywood_Landed_Kudus_Tala_Living.xlsx, Landed Rates sheet (Linyi Ocean quote 16 Oct 2026)</t>
        </is>
      </c>
      <c r="G182" s="86">
        <f>I182+$C$173/$C$172/J182</f>
        <v/>
      </c>
      <c r="H182" s="87">
        <f>G182*$C$172</f>
        <v/>
      </c>
      <c r="I182" s="86" t="n">
        <v>17.655</v>
      </c>
      <c r="J182" s="87" t="n">
        <v>1165</v>
      </c>
    </row>
    <row r="183">
      <c r="A183" s="79" t="inlineStr">
        <is>
          <t>LND-PLY-E2-18</t>
        </is>
      </c>
      <c r="B183" s="79" t="inlineStr">
        <is>
          <t>Furniture plywood 18 mm, E2, poplar core, okoume face, landed Kudus</t>
        </is>
      </c>
      <c r="C183" s="88">
        <f>H183</f>
        <v/>
      </c>
      <c r="E183" s="79" t="inlineStr">
        <is>
          <t>IDR/sheet</t>
        </is>
      </c>
      <c r="F183" s="79" t="inlineStr">
        <is>
          <t>RFQ_MDF_Plywood_Landed_Kudus_Tala_Living.xlsx, Landed Rates sheet (Linyi Ocean quote 16 Oct 2026)</t>
        </is>
      </c>
      <c r="G183" s="86">
        <f>I183+$C$173/$C$172/J183</f>
        <v/>
      </c>
      <c r="H183" s="87">
        <f>G183*$C$172</f>
        <v/>
      </c>
      <c r="I183" s="86" t="n">
        <v>20.469</v>
      </c>
      <c r="J183" s="87" t="n">
        <v>970</v>
      </c>
    </row>
    <row r="184">
      <c r="A184" s="84" t="inlineStr">
        <is>
          <t>LND-PLY-E0-3</t>
        </is>
      </c>
      <c r="B184" s="84" t="inlineStr">
        <is>
          <t>Furniture plywood 3 mm, E0, poplar core, okoume face, landed Kudus</t>
        </is>
      </c>
      <c r="C184" s="89">
        <f>H184</f>
        <v/>
      </c>
      <c r="E184" s="84" t="inlineStr">
        <is>
          <t>IDR/sheet</t>
        </is>
      </c>
      <c r="F184" s="84" t="inlineStr">
        <is>
          <t>RFQ_MDF_Plywood_Landed_Kudus_Tala_Living.xlsx, Landed Rates sheet (Linyi Ocean quote 16 Oct 2026)</t>
        </is>
      </c>
      <c r="G184" s="82">
        <f>I184+$C$173/$C$172/J184</f>
        <v/>
      </c>
      <c r="H184" s="83">
        <f>G184*$C$172</f>
        <v/>
      </c>
      <c r="I184" s="82" t="n">
        <v>5.45</v>
      </c>
      <c r="J184" s="83" t="n">
        <v>5760</v>
      </c>
    </row>
    <row r="185">
      <c r="A185" s="84" t="inlineStr">
        <is>
          <t>LND-PLY-E0-6</t>
        </is>
      </c>
      <c r="B185" s="84" t="inlineStr">
        <is>
          <t>Furniture plywood 6 mm, E0, poplar core, okoume face, landed Kudus</t>
        </is>
      </c>
      <c r="C185" s="89">
        <f>H185</f>
        <v/>
      </c>
      <c r="E185" s="84" t="inlineStr">
        <is>
          <t>IDR/sheet</t>
        </is>
      </c>
      <c r="F185" s="84" t="inlineStr">
        <is>
          <t>RFQ_MDF_Plywood_Landed_Kudus_Tala_Living.xlsx, Landed Rates sheet (Linyi Ocean quote 16 Oct 2026)</t>
        </is>
      </c>
      <c r="G185" s="82">
        <f>I185+$C$173/$C$172/J185</f>
        <v/>
      </c>
      <c r="H185" s="83">
        <f>G185*$C$172</f>
        <v/>
      </c>
      <c r="I185" s="82" t="n">
        <v>8.449999999999999</v>
      </c>
      <c r="J185" s="83" t="n">
        <v>2880</v>
      </c>
    </row>
    <row r="186">
      <c r="A186" s="84" t="inlineStr">
        <is>
          <t>LND-PLY-E0-9</t>
        </is>
      </c>
      <c r="B186" s="84" t="inlineStr">
        <is>
          <t>Furniture plywood 9 mm, E0, poplar core, okoume face, landed Kudus</t>
        </is>
      </c>
      <c r="C186" s="89">
        <f>H186</f>
        <v/>
      </c>
      <c r="E186" s="84" t="inlineStr">
        <is>
          <t>IDR/sheet</t>
        </is>
      </c>
      <c r="F186" s="84" t="inlineStr">
        <is>
          <t>RFQ_MDF_Plywood_Landed_Kudus_Tala_Living.xlsx, Landed Rates sheet (Linyi Ocean quote 16 Oct 2026)</t>
        </is>
      </c>
      <c r="G186" s="82">
        <f>I186+$C$173/$C$172/J186</f>
        <v/>
      </c>
      <c r="H186" s="83">
        <f>G186*$C$172</f>
        <v/>
      </c>
      <c r="I186" s="82" t="n">
        <v>12.4</v>
      </c>
      <c r="J186" s="83" t="n">
        <v>1890</v>
      </c>
    </row>
    <row r="187">
      <c r="A187" s="84" t="inlineStr">
        <is>
          <t>LND-PLY-E0-12</t>
        </is>
      </c>
      <c r="B187" s="84" t="inlineStr">
        <is>
          <t>Furniture plywood 12 mm, E0, poplar core, okoume face, landed Kudus</t>
        </is>
      </c>
      <c r="C187" s="89">
        <f>H187</f>
        <v/>
      </c>
      <c r="E187" s="84" t="inlineStr">
        <is>
          <t>IDR/sheet</t>
        </is>
      </c>
      <c r="F187" s="84" t="inlineStr">
        <is>
          <t>RFQ_MDF_Plywood_Landed_Kudus_Tala_Living.xlsx, Landed Rates sheet (Linyi Ocean quote 16 Oct 2026)</t>
        </is>
      </c>
      <c r="G187" s="82">
        <f>I187+$C$173/$C$172/J187</f>
        <v/>
      </c>
      <c r="H187" s="83">
        <f>G187*$C$172</f>
        <v/>
      </c>
      <c r="I187" s="82" t="n">
        <v>15.4</v>
      </c>
      <c r="J187" s="83" t="n">
        <v>1440</v>
      </c>
    </row>
    <row r="188">
      <c r="A188" s="84" t="inlineStr">
        <is>
          <t>LND-PLY-E0-15</t>
        </is>
      </c>
      <c r="B188" s="84" t="inlineStr">
        <is>
          <t>Furniture plywood 15 mm, E0, poplar core, okoume face, landed Kudus</t>
        </is>
      </c>
      <c r="C188" s="89">
        <f>H188</f>
        <v/>
      </c>
      <c r="E188" s="84" t="inlineStr">
        <is>
          <t>IDR/sheet</t>
        </is>
      </c>
      <c r="F188" s="84" t="inlineStr">
        <is>
          <t>RFQ_MDF_Plywood_Landed_Kudus_Tala_Living.xlsx, Landed Rates sheet (Linyi Ocean quote 16 Oct 2026)</t>
        </is>
      </c>
      <c r="G188" s="82">
        <f>I188+$C$173/$C$172/J188</f>
        <v/>
      </c>
      <c r="H188" s="83">
        <f>G188*$C$172</f>
        <v/>
      </c>
      <c r="I188" s="82" t="n">
        <v>18.7</v>
      </c>
      <c r="J188" s="83" t="n">
        <v>1170</v>
      </c>
    </row>
    <row r="189">
      <c r="A189" s="84" t="inlineStr">
        <is>
          <t>LND-PLY-E0-18</t>
        </is>
      </c>
      <c r="B189" s="84" t="inlineStr">
        <is>
          <t>Furniture plywood 18 mm, E0, poplar core, okoume face, landed Kudus</t>
        </is>
      </c>
      <c r="C189" s="89">
        <f>H189</f>
        <v/>
      </c>
      <c r="E189" s="84" t="inlineStr">
        <is>
          <t>IDR/sheet</t>
        </is>
      </c>
      <c r="F189" s="84" t="inlineStr">
        <is>
          <t>RFQ_MDF_Plywood_Landed_Kudus_Tala_Living.xlsx, Landed Rates sheet (Linyi Ocean quote 16 Oct 2026)</t>
        </is>
      </c>
      <c r="G189" s="82">
        <f>I189+$C$173/$C$172/J189</f>
        <v/>
      </c>
      <c r="H189" s="83">
        <f>G189*$C$172</f>
        <v/>
      </c>
      <c r="I189" s="82" t="n">
        <v>21.4</v>
      </c>
      <c r="J189" s="83" t="n">
        <v>990</v>
      </c>
    </row>
    <row r="190">
      <c r="A190" s="84" t="inlineStr">
        <is>
          <t>LND-PLY-CARB-3</t>
        </is>
      </c>
      <c r="B190" s="84" t="inlineStr">
        <is>
          <t>Furniture plywood 3 mm, CARB Phase 2 / TSCA Title VI, poplar core, okoume face, landed Kudus</t>
        </is>
      </c>
      <c r="C190" s="89">
        <f>H190</f>
        <v/>
      </c>
      <c r="E190" s="84" t="inlineStr">
        <is>
          <t>IDR/sheet</t>
        </is>
      </c>
      <c r="F190" s="84" t="inlineStr">
        <is>
          <t>RFQ_MDF_Plywood_Landed_Kudus_Tala_Living.xlsx, Landed Rates sheet (Linyi Ocean quote 16 Oct 2026)</t>
        </is>
      </c>
      <c r="G190" s="82">
        <f>I190+$C$173/$C$172/J190</f>
        <v/>
      </c>
      <c r="H190" s="83">
        <f>G190*$C$172</f>
        <v/>
      </c>
      <c r="I190" s="82" t="n">
        <v>5.5</v>
      </c>
      <c r="J190" s="83" t="n">
        <v>5760</v>
      </c>
    </row>
    <row r="191">
      <c r="A191" s="84" t="inlineStr">
        <is>
          <t>LND-PLY-CARB-6</t>
        </is>
      </c>
      <c r="B191" s="84" t="inlineStr">
        <is>
          <t>Furniture plywood 6 mm, CARB Phase 2 / TSCA Title VI, poplar core, okoume face, landed Kudus</t>
        </is>
      </c>
      <c r="C191" s="89">
        <f>H191</f>
        <v/>
      </c>
      <c r="E191" s="84" t="inlineStr">
        <is>
          <t>IDR/sheet</t>
        </is>
      </c>
      <c r="F191" s="84" t="inlineStr">
        <is>
          <t>RFQ_MDF_Plywood_Landed_Kudus_Tala_Living.xlsx, Landed Rates sheet (Linyi Ocean quote 16 Oct 2026)</t>
        </is>
      </c>
      <c r="G191" s="82">
        <f>I191+$C$173/$C$172/J191</f>
        <v/>
      </c>
      <c r="H191" s="83">
        <f>G191*$C$172</f>
        <v/>
      </c>
      <c r="I191" s="82" t="n">
        <v>8.5</v>
      </c>
      <c r="J191" s="83" t="n">
        <v>2880</v>
      </c>
    </row>
    <row r="192">
      <c r="A192" s="84" t="inlineStr">
        <is>
          <t>LND-PLY-CARB-9</t>
        </is>
      </c>
      <c r="B192" s="84" t="inlineStr">
        <is>
          <t>Furniture plywood 9 mm, CARB Phase 2 / TSCA Title VI, poplar core, okoume face, landed Kudus</t>
        </is>
      </c>
      <c r="C192" s="89">
        <f>H192</f>
        <v/>
      </c>
      <c r="E192" s="84" t="inlineStr">
        <is>
          <t>IDR/sheet</t>
        </is>
      </c>
      <c r="F192" s="84" t="inlineStr">
        <is>
          <t>RFQ_MDF_Plywood_Landed_Kudus_Tala_Living.xlsx, Landed Rates sheet (Linyi Ocean quote 16 Oct 2026)</t>
        </is>
      </c>
      <c r="G192" s="82">
        <f>I192+$C$173/$C$172/J192</f>
        <v/>
      </c>
      <c r="H192" s="83">
        <f>G192*$C$172</f>
        <v/>
      </c>
      <c r="I192" s="82" t="n">
        <v>12.4</v>
      </c>
      <c r="J192" s="83" t="n">
        <v>1890</v>
      </c>
    </row>
    <row r="193">
      <c r="A193" s="84" t="inlineStr">
        <is>
          <t>LND-PLY-CARB-12</t>
        </is>
      </c>
      <c r="B193" s="84" t="inlineStr">
        <is>
          <t>Furniture plywood 12 mm, CARB Phase 2 / TSCA Title VI, poplar core, okoume face, landed Kudus</t>
        </is>
      </c>
      <c r="C193" s="89">
        <f>H193</f>
        <v/>
      </c>
      <c r="E193" s="84" t="inlineStr">
        <is>
          <t>IDR/sheet</t>
        </is>
      </c>
      <c r="F193" s="84" t="inlineStr">
        <is>
          <t>RFQ_MDF_Plywood_Landed_Kudus_Tala_Living.xlsx, Landed Rates sheet (Linyi Ocean quote 16 Oct 2026)</t>
        </is>
      </c>
      <c r="G193" s="82">
        <f>I193+$C$173/$C$172/J193</f>
        <v/>
      </c>
      <c r="H193" s="83">
        <f>G193*$C$172</f>
        <v/>
      </c>
      <c r="I193" s="82" t="n">
        <v>15.5</v>
      </c>
      <c r="J193" s="83" t="n">
        <v>1440</v>
      </c>
    </row>
    <row r="194">
      <c r="A194" s="84" t="inlineStr">
        <is>
          <t>LND-PLY-CARB-15</t>
        </is>
      </c>
      <c r="B194" s="84" t="inlineStr">
        <is>
          <t>Furniture plywood 15 mm, CARB Phase 2 / TSCA Title VI, poplar core, okoume face, landed Kudus</t>
        </is>
      </c>
      <c r="C194" s="89">
        <f>H194</f>
        <v/>
      </c>
      <c r="E194" s="84" t="inlineStr">
        <is>
          <t>IDR/sheet</t>
        </is>
      </c>
      <c r="F194" s="84" t="inlineStr">
        <is>
          <t>RFQ_MDF_Plywood_Landed_Kudus_Tala_Living.xlsx, Landed Rates sheet (Linyi Ocean quote 16 Oct 2026)</t>
        </is>
      </c>
      <c r="G194" s="82">
        <f>I194+$C$173/$C$172/J194</f>
        <v/>
      </c>
      <c r="H194" s="83">
        <f>G194*$C$172</f>
        <v/>
      </c>
      <c r="I194" s="82" t="n">
        <v>18.8</v>
      </c>
      <c r="J194" s="83" t="n">
        <v>1170</v>
      </c>
    </row>
    <row r="195">
      <c r="A195" s="84" t="inlineStr">
        <is>
          <t>LND-PLY-CARB-18</t>
        </is>
      </c>
      <c r="B195" s="84" t="inlineStr">
        <is>
          <t>Furniture plywood 18 mm, CARB Phase 2 / TSCA Title VI, poplar core, okoume face, landed Kudus</t>
        </is>
      </c>
      <c r="C195" s="89">
        <f>H195</f>
        <v/>
      </c>
      <c r="E195" s="84" t="inlineStr">
        <is>
          <t>IDR/sheet</t>
        </is>
      </c>
      <c r="F195" s="84" t="inlineStr">
        <is>
          <t>RFQ_MDF_Plywood_Landed_Kudus_Tala_Living.xlsx, Landed Rates sheet (Linyi Ocean quote 16 Oct 2026)</t>
        </is>
      </c>
      <c r="G195" s="82">
        <f>I195+$C$173/$C$172/J195</f>
        <v/>
      </c>
      <c r="H195" s="83">
        <f>G195*$C$172</f>
        <v/>
      </c>
      <c r="I195" s="82" t="n">
        <v>21.5</v>
      </c>
      <c r="J195" s="83" t="n">
        <v>990</v>
      </c>
    </row>
    <row r="196">
      <c r="A196" s="79" t="inlineStr">
        <is>
          <t>LND-MDF-E2-3</t>
        </is>
      </c>
      <c r="B196" s="79" t="inlineStr">
        <is>
          <t>MDF 3 mm, E2, landed Kudus</t>
        </is>
      </c>
      <c r="C196" s="88">
        <f>H196</f>
        <v/>
      </c>
      <c r="E196" s="79" t="inlineStr">
        <is>
          <t>IDR/sheet</t>
        </is>
      </c>
      <c r="F196" s="79" t="inlineStr">
        <is>
          <t>RFQ_MDF_Plywood_Landed_Kudus_Tala_Living.xlsx, Landed Rates sheet (Linyi Ocean quote 16 Oct 2026)</t>
        </is>
      </c>
      <c r="G196" s="86">
        <f>I196+$C$173/$C$172/J196</f>
        <v/>
      </c>
      <c r="H196" s="87">
        <f>G196*$C$172</f>
        <v/>
      </c>
      <c r="I196" s="86" t="n">
        <v>2.715</v>
      </c>
      <c r="J196" s="87" t="n">
        <v>4143</v>
      </c>
    </row>
    <row r="197">
      <c r="A197" s="79" t="inlineStr">
        <is>
          <t>LND-MDF-E2-6</t>
        </is>
      </c>
      <c r="B197" s="79" t="inlineStr">
        <is>
          <t>MDF 6 mm, E2, landed Kudus</t>
        </is>
      </c>
      <c r="C197" s="88">
        <f>H197</f>
        <v/>
      </c>
      <c r="E197" s="79" t="inlineStr">
        <is>
          <t>IDR/sheet</t>
        </is>
      </c>
      <c r="F197" s="79" t="inlineStr">
        <is>
          <t>RFQ_MDF_Plywood_Landed_Kudus_Tala_Living.xlsx, Landed Rates sheet (Linyi Ocean quote 16 Oct 2026)</t>
        </is>
      </c>
      <c r="G197" s="86">
        <f>I197+$C$173/$C$172/J197</f>
        <v/>
      </c>
      <c r="H197" s="87">
        <f>G197*$C$172</f>
        <v/>
      </c>
      <c r="I197" s="86" t="n">
        <v>4.873</v>
      </c>
      <c r="J197" s="87" t="n">
        <v>2072</v>
      </c>
    </row>
    <row r="198">
      <c r="A198" s="79" t="inlineStr">
        <is>
          <t>LND-MDF-E2-9</t>
        </is>
      </c>
      <c r="B198" s="79" t="inlineStr">
        <is>
          <t>MDF 9 mm, E2, landed Kudus</t>
        </is>
      </c>
      <c r="C198" s="88">
        <f>H198</f>
        <v/>
      </c>
      <c r="E198" s="79" t="inlineStr">
        <is>
          <t>IDR/sheet</t>
        </is>
      </c>
      <c r="F198" s="79" t="inlineStr">
        <is>
          <t>RFQ_MDF_Plywood_Landed_Kudus_Tala_Living.xlsx, Landed Rates sheet (Linyi Ocean quote 16 Oct 2026)</t>
        </is>
      </c>
      <c r="G198" s="86">
        <f>I198+$C$173/$C$172/J198</f>
        <v/>
      </c>
      <c r="H198" s="87">
        <f>G198*$C$172</f>
        <v/>
      </c>
      <c r="I198" s="86" t="n">
        <v>7.553</v>
      </c>
      <c r="J198" s="87" t="n">
        <v>1493</v>
      </c>
    </row>
    <row r="199">
      <c r="A199" s="79" t="inlineStr">
        <is>
          <t>LND-MDF-E2-12</t>
        </is>
      </c>
      <c r="B199" s="79" t="inlineStr">
        <is>
          <t>MDF 12 mm, E2, landed Kudus</t>
        </is>
      </c>
      <c r="C199" s="88">
        <f>H199</f>
        <v/>
      </c>
      <c r="E199" s="79" t="inlineStr">
        <is>
          <t>IDR/sheet</t>
        </is>
      </c>
      <c r="F199" s="79" t="inlineStr">
        <is>
          <t>RFQ_MDF_Plywood_Landed_Kudus_Tala_Living.xlsx, Landed Rates sheet (Linyi Ocean quote 16 Oct 2026)</t>
        </is>
      </c>
      <c r="G199" s="86">
        <f>I199+$C$173/$C$172/J199</f>
        <v/>
      </c>
      <c r="H199" s="87">
        <f>G199*$C$172</f>
        <v/>
      </c>
      <c r="I199" s="86" t="n">
        <v>9.882999999999999</v>
      </c>
      <c r="J199" s="87" t="n">
        <v>1120</v>
      </c>
    </row>
    <row r="200">
      <c r="A200" s="79" t="inlineStr">
        <is>
          <t>LND-MDF-E2-15</t>
        </is>
      </c>
      <c r="B200" s="79" t="inlineStr">
        <is>
          <t>MDF 15 mm, E2, landed Kudus</t>
        </is>
      </c>
      <c r="C200" s="88">
        <f>H200</f>
        <v/>
      </c>
      <c r="E200" s="79" t="inlineStr">
        <is>
          <t>IDR/sheet</t>
        </is>
      </c>
      <c r="F200" s="79" t="inlineStr">
        <is>
          <t>RFQ_MDF_Plywood_Landed_Kudus_Tala_Living.xlsx, Landed Rates sheet (Linyi Ocean quote 16 Oct 2026)</t>
        </is>
      </c>
      <c r="G200" s="86">
        <f>I200+$C$173/$C$172/J200</f>
        <v/>
      </c>
      <c r="H200" s="87">
        <f>G200*$C$172</f>
        <v/>
      </c>
      <c r="I200" s="86" t="n">
        <v>12.435</v>
      </c>
      <c r="J200" s="87" t="n">
        <v>896</v>
      </c>
    </row>
    <row r="201">
      <c r="A201" s="79" t="inlineStr">
        <is>
          <t>LND-MDF-E2-18</t>
        </is>
      </c>
      <c r="B201" s="79" t="inlineStr">
        <is>
          <t>MDF 18 mm, E2, landed Kudus</t>
        </is>
      </c>
      <c r="C201" s="88">
        <f>H201</f>
        <v/>
      </c>
      <c r="E201" s="79" t="inlineStr">
        <is>
          <t>IDR/sheet</t>
        </is>
      </c>
      <c r="F201" s="79" t="inlineStr">
        <is>
          <t>RFQ_MDF_Plywood_Landed_Kudus_Tala_Living.xlsx, Landed Rates sheet (Linyi Ocean quote 16 Oct 2026)</t>
        </is>
      </c>
      <c r="G201" s="86">
        <f>I201+$C$173/$C$172/J201</f>
        <v/>
      </c>
      <c r="H201" s="87">
        <f>G201*$C$172</f>
        <v/>
      </c>
      <c r="I201" s="86" t="n">
        <v>15.039</v>
      </c>
      <c r="J201" s="87" t="n">
        <v>746</v>
      </c>
    </row>
    <row r="202">
      <c r="A202" s="84" t="inlineStr">
        <is>
          <t>LND-MDF-E0-3</t>
        </is>
      </c>
      <c r="B202" s="84" t="inlineStr">
        <is>
          <t>MDF 3 mm, E0, landed Kudus</t>
        </is>
      </c>
      <c r="C202" s="89">
        <f>H202</f>
        <v/>
      </c>
      <c r="E202" s="84" t="inlineStr">
        <is>
          <t>IDR/sheet</t>
        </is>
      </c>
      <c r="F202" s="84" t="inlineStr">
        <is>
          <t>RFQ_MDF_Plywood_Landed_Kudus_Tala_Living.xlsx, Landed Rates sheet (Linyi Ocean quote 16 Oct 2026)</t>
        </is>
      </c>
      <c r="G202" s="82">
        <f>I202+$C$173/$C$172/J202</f>
        <v/>
      </c>
      <c r="H202" s="83">
        <f>G202*$C$172</f>
        <v/>
      </c>
      <c r="I202" s="82" t="n">
        <v>2.8</v>
      </c>
      <c r="J202" s="83" t="n">
        <v>4060</v>
      </c>
    </row>
    <row r="203">
      <c r="A203" s="84" t="inlineStr">
        <is>
          <t>LND-MDF-E0-6</t>
        </is>
      </c>
      <c r="B203" s="84" t="inlineStr">
        <is>
          <t>MDF 6 mm, E0, landed Kudus</t>
        </is>
      </c>
      <c r="C203" s="89">
        <f>H203</f>
        <v/>
      </c>
      <c r="E203" s="84" t="inlineStr">
        <is>
          <t>IDR/sheet</t>
        </is>
      </c>
      <c r="F203" s="84" t="inlineStr">
        <is>
          <t>RFQ_MDF_Plywood_Landed_Kudus_Tala_Living.xlsx, Landed Rates sheet (Linyi Ocean quote 16 Oct 2026)</t>
        </is>
      </c>
      <c r="G203" s="82">
        <f>I203+$C$173/$C$172/J203</f>
        <v/>
      </c>
      <c r="H203" s="83">
        <f>G203*$C$172</f>
        <v/>
      </c>
      <c r="I203" s="82" t="n">
        <v>5.2</v>
      </c>
      <c r="J203" s="83" t="n">
        <v>2250</v>
      </c>
    </row>
    <row r="204">
      <c r="A204" s="84" t="inlineStr">
        <is>
          <t>LND-MDF-E0-9</t>
        </is>
      </c>
      <c r="B204" s="84" t="inlineStr">
        <is>
          <t>MDF 9 mm, E0, landed Kudus</t>
        </is>
      </c>
      <c r="C204" s="89">
        <f>H204</f>
        <v/>
      </c>
      <c r="E204" s="84" t="inlineStr">
        <is>
          <t>IDR/sheet</t>
        </is>
      </c>
      <c r="F204" s="84" t="inlineStr">
        <is>
          <t>RFQ_MDF_Plywood_Landed_Kudus_Tala_Living.xlsx, Landed Rates sheet (Linyi Ocean quote 16 Oct 2026)</t>
        </is>
      </c>
      <c r="G204" s="82">
        <f>I204+$C$173/$C$172/J204</f>
        <v/>
      </c>
      <c r="H204" s="83">
        <f>G204*$C$172</f>
        <v/>
      </c>
      <c r="I204" s="82" t="n">
        <v>8.15</v>
      </c>
      <c r="J204" s="83" t="n">
        <v>1500</v>
      </c>
    </row>
    <row r="205">
      <c r="A205" s="84" t="inlineStr">
        <is>
          <t>LND-MDF-E0-12</t>
        </is>
      </c>
      <c r="B205" s="84" t="inlineStr">
        <is>
          <t>MDF 12 mm, E0, landed Kudus</t>
        </is>
      </c>
      <c r="C205" s="89">
        <f>H205</f>
        <v/>
      </c>
      <c r="E205" s="84" t="inlineStr">
        <is>
          <t>IDR/sheet</t>
        </is>
      </c>
      <c r="F205" s="84" t="inlineStr">
        <is>
          <t>RFQ_MDF_Plywood_Landed_Kudus_Tala_Living.xlsx, Landed Rates sheet (Linyi Ocean quote 16 Oct 2026)</t>
        </is>
      </c>
      <c r="G205" s="82">
        <f>I205+$C$173/$C$172/J205</f>
        <v/>
      </c>
      <c r="H205" s="83">
        <f>G205*$C$172</f>
        <v/>
      </c>
      <c r="I205" s="82" t="n">
        <v>10.7</v>
      </c>
      <c r="J205" s="83" t="n">
        <v>1125</v>
      </c>
    </row>
    <row r="206">
      <c r="A206" s="84" t="inlineStr">
        <is>
          <t>LND-MDF-E0-15</t>
        </is>
      </c>
      <c r="B206" s="84" t="inlineStr">
        <is>
          <t>MDF 15 mm, E0, landed Kudus</t>
        </is>
      </c>
      <c r="C206" s="89">
        <f>H206</f>
        <v/>
      </c>
      <c r="E206" s="84" t="inlineStr">
        <is>
          <t>IDR/sheet</t>
        </is>
      </c>
      <c r="F206" s="84" t="inlineStr">
        <is>
          <t>RFQ_MDF_Plywood_Landed_Kudus_Tala_Living.xlsx, Landed Rates sheet (Linyi Ocean quote 16 Oct 2026)</t>
        </is>
      </c>
      <c r="G206" s="82">
        <f>I206+$C$173/$C$172/J206</f>
        <v/>
      </c>
      <c r="H206" s="83">
        <f>G206*$C$172</f>
        <v/>
      </c>
      <c r="I206" s="82" t="n">
        <v>13.4</v>
      </c>
      <c r="J206" s="83" t="n">
        <v>900</v>
      </c>
    </row>
    <row r="207">
      <c r="A207" s="84" t="inlineStr">
        <is>
          <t>LND-MDF-E0-18</t>
        </is>
      </c>
      <c r="B207" s="84" t="inlineStr">
        <is>
          <t>MDF 18 mm, E0, landed Kudus</t>
        </is>
      </c>
      <c r="C207" s="89">
        <f>H207</f>
        <v/>
      </c>
      <c r="E207" s="84" t="inlineStr">
        <is>
          <t>IDR/sheet</t>
        </is>
      </c>
      <c r="F207" s="84" t="inlineStr">
        <is>
          <t>RFQ_MDF_Plywood_Landed_Kudus_Tala_Living.xlsx, Landed Rates sheet (Linyi Ocean quote 16 Oct 2026)</t>
        </is>
      </c>
      <c r="G207" s="82">
        <f>I207+$C$173/$C$172/J207</f>
        <v/>
      </c>
      <c r="H207" s="83">
        <f>G207*$C$172</f>
        <v/>
      </c>
      <c r="I207" s="82" t="n">
        <v>16</v>
      </c>
      <c r="J207" s="83" t="n">
        <v>750</v>
      </c>
    </row>
    <row r="208">
      <c r="A208" s="84" t="inlineStr">
        <is>
          <t>LND-MDF-CARB-3</t>
        </is>
      </c>
      <c r="B208" s="84" t="inlineStr">
        <is>
          <t>MDF 3 mm, CARB Phase 2 / TSCA Title VI, landed Kudus</t>
        </is>
      </c>
      <c r="C208" s="89">
        <f>H208</f>
        <v/>
      </c>
      <c r="E208" s="84" t="inlineStr">
        <is>
          <t>IDR/sheet</t>
        </is>
      </c>
      <c r="F208" s="84" t="inlineStr">
        <is>
          <t>RFQ_MDF_Plywood_Landed_Kudus_Tala_Living.xlsx, Landed Rates sheet (Linyi Ocean quote 16 Oct 2026)</t>
        </is>
      </c>
      <c r="G208" s="82">
        <f>I208+$C$173/$C$172/J208</f>
        <v/>
      </c>
      <c r="H208" s="83">
        <f>G208*$C$172</f>
        <v/>
      </c>
      <c r="I208" s="82" t="n">
        <v>2.8</v>
      </c>
      <c r="J208" s="83" t="n">
        <v>4060</v>
      </c>
    </row>
    <row r="209">
      <c r="A209" s="84" t="inlineStr">
        <is>
          <t>LND-MDF-CARB-6</t>
        </is>
      </c>
      <c r="B209" s="84" t="inlineStr">
        <is>
          <t>MDF 6 mm, CARB Phase 2 / TSCA Title VI, landed Kudus</t>
        </is>
      </c>
      <c r="C209" s="89">
        <f>H209</f>
        <v/>
      </c>
      <c r="E209" s="84" t="inlineStr">
        <is>
          <t>IDR/sheet</t>
        </is>
      </c>
      <c r="F209" s="84" t="inlineStr">
        <is>
          <t>RFQ_MDF_Plywood_Landed_Kudus_Tala_Living.xlsx, Landed Rates sheet (Linyi Ocean quote 16 Oct 2026)</t>
        </is>
      </c>
      <c r="G209" s="82">
        <f>I209+$C$173/$C$172/J209</f>
        <v/>
      </c>
      <c r="H209" s="83">
        <f>G209*$C$172</f>
        <v/>
      </c>
      <c r="I209" s="82" t="n">
        <v>5.35</v>
      </c>
      <c r="J209" s="83" t="n">
        <v>2030</v>
      </c>
    </row>
    <row r="210">
      <c r="A210" s="84" t="inlineStr">
        <is>
          <t>LND-MDF-CARB-9</t>
        </is>
      </c>
      <c r="B210" s="84" t="inlineStr">
        <is>
          <t>MDF 9 mm, CARB Phase 2 / TSCA Title VI, landed Kudus</t>
        </is>
      </c>
      <c r="C210" s="89">
        <f>H210</f>
        <v/>
      </c>
      <c r="E210" s="84" t="inlineStr">
        <is>
          <t>IDR/sheet</t>
        </is>
      </c>
      <c r="F210" s="84" t="inlineStr">
        <is>
          <t>RFQ_MDF_Plywood_Landed_Kudus_Tala_Living.xlsx, Landed Rates sheet (Linyi Ocean quote 16 Oct 2026)</t>
        </is>
      </c>
      <c r="G210" s="82">
        <f>I210+$C$173/$C$172/J210</f>
        <v/>
      </c>
      <c r="H210" s="83">
        <f>G210*$C$172</f>
        <v/>
      </c>
      <c r="I210" s="82" t="n">
        <v>7.5</v>
      </c>
      <c r="J210" s="83" t="n">
        <v>1425</v>
      </c>
    </row>
    <row r="211">
      <c r="A211" s="84" t="inlineStr">
        <is>
          <t>LND-MDF-CARB-12</t>
        </is>
      </c>
      <c r="B211" s="84" t="inlineStr">
        <is>
          <t>MDF 12 mm, CARB Phase 2 / TSCA Title VI, landed Kudus</t>
        </is>
      </c>
      <c r="C211" s="89">
        <f>H211</f>
        <v/>
      </c>
      <c r="E211" s="84" t="inlineStr">
        <is>
          <t>IDR/sheet</t>
        </is>
      </c>
      <c r="F211" s="84" t="inlineStr">
        <is>
          <t>RFQ_MDF_Plywood_Landed_Kudus_Tala_Living.xlsx, Landed Rates sheet (Linyi Ocean quote 16 Oct 2026)</t>
        </is>
      </c>
      <c r="G211" s="82">
        <f>I211+$C$173/$C$172/J211</f>
        <v/>
      </c>
      <c r="H211" s="83">
        <f>G211*$C$172</f>
        <v/>
      </c>
      <c r="I211" s="82" t="n">
        <v>8.699999999999999</v>
      </c>
      <c r="J211" s="83" t="n">
        <v>1200</v>
      </c>
    </row>
    <row r="212">
      <c r="A212" s="84" t="inlineStr">
        <is>
          <t>LND-MDF-CARB-15</t>
        </is>
      </c>
      <c r="B212" s="84" t="inlineStr">
        <is>
          <t>MDF 15 mm, CARB Phase 2 / TSCA Title VI, landed Kudus</t>
        </is>
      </c>
      <c r="C212" s="89">
        <f>H212</f>
        <v/>
      </c>
      <c r="E212" s="84" t="inlineStr">
        <is>
          <t>IDR/sheet</t>
        </is>
      </c>
      <c r="F212" s="84" t="inlineStr">
        <is>
          <t>RFQ_MDF_Plywood_Landed_Kudus_Tala_Living.xlsx, Landed Rates sheet (Linyi Ocean quote 16 Oct 2026)</t>
        </is>
      </c>
      <c r="G212" s="82">
        <f>I212+$C$173/$C$172/J212</f>
        <v/>
      </c>
      <c r="H212" s="83">
        <f>G212*$C$172</f>
        <v/>
      </c>
      <c r="I212" s="82" t="n">
        <v>11.05</v>
      </c>
      <c r="J212" s="83" t="n">
        <v>960</v>
      </c>
    </row>
    <row r="213">
      <c r="A213" s="84" t="inlineStr">
        <is>
          <t>LND-MDF-CARB-18</t>
        </is>
      </c>
      <c r="B213" s="84" t="inlineStr">
        <is>
          <t>MDF 18 mm, CARB Phase 2 / TSCA Title VI, landed Kudus</t>
        </is>
      </c>
      <c r="C213" s="89">
        <f>H213</f>
        <v/>
      </c>
      <c r="E213" s="84" t="inlineStr">
        <is>
          <t>IDR/sheet</t>
        </is>
      </c>
      <c r="F213" s="84" t="inlineStr">
        <is>
          <t>RFQ_MDF_Plywood_Landed_Kudus_Tala_Living.xlsx, Landed Rates sheet (Linyi Ocean quote 16 Oct 2026)</t>
        </is>
      </c>
      <c r="G213" s="82">
        <f>I213+$C$173/$C$172/J213</f>
        <v/>
      </c>
      <c r="H213" s="83">
        <f>G213*$C$172</f>
        <v/>
      </c>
      <c r="I213" s="82" t="n">
        <v>13.2</v>
      </c>
      <c r="J213" s="83" t="n">
        <v>800</v>
      </c>
    </row>
    <row r="214">
      <c r="A214" s="84" t="inlineStr">
        <is>
          <t>LND-MAR-15</t>
        </is>
      </c>
      <c r="B214" s="84" t="inlineStr">
        <is>
          <t>Marine plywood 15 mm, BS 1088 type, WBP glue, landed Kudus</t>
        </is>
      </c>
      <c r="C214" s="89">
        <f>H214</f>
        <v/>
      </c>
      <c r="E214" s="84" t="inlineStr">
        <is>
          <t>IDR/sheet</t>
        </is>
      </c>
      <c r="F214" s="84" t="inlineStr">
        <is>
          <t>RFQ_MDF_Plywood_Landed_Kudus_Tala_Living.xlsx, Landed Rates sheet (Linyi Ocean quote 16 Oct 2026)</t>
        </is>
      </c>
      <c r="G214" s="82">
        <f>I214+$C$173/$C$172/J214</f>
        <v/>
      </c>
      <c r="H214" s="83">
        <f>G214*$C$172</f>
        <v/>
      </c>
      <c r="I214" s="82" t="n">
        <v>20.324</v>
      </c>
      <c r="J214" s="83" t="n">
        <v>1120</v>
      </c>
    </row>
    <row r="215">
      <c r="A215" s="84" t="inlineStr">
        <is>
          <t>LND-MAR-18</t>
        </is>
      </c>
      <c r="B215" s="84" t="inlineStr">
        <is>
          <t>Marine plywood 18 mm, BS 1088 type, WBP glue, landed Kudus</t>
        </is>
      </c>
      <c r="C215" s="89">
        <f>H215</f>
        <v/>
      </c>
      <c r="E215" s="84" t="inlineStr">
        <is>
          <t>IDR/sheet</t>
        </is>
      </c>
      <c r="F215" s="84" t="inlineStr">
        <is>
          <t>RFQ_MDF_Plywood_Landed_Kudus_Tala_Living.xlsx, Landed Rates sheet (Linyi Ocean quote 16 Oct 2026)</t>
        </is>
      </c>
      <c r="G215" s="82">
        <f>I215+$C$173/$C$172/J215</f>
        <v/>
      </c>
      <c r="H215" s="83">
        <f>G215*$C$172</f>
        <v/>
      </c>
      <c r="I215" s="82" t="n">
        <v>24.043</v>
      </c>
      <c r="J215" s="83" t="n">
        <v>933</v>
      </c>
    </row>
    <row r="217">
      <c r="A217" s="84" t="inlineStr">
        <is>
          <t>BOARD RATES ADDED 16 OCT 2026 (use as PANEL TYPE on item tabs)</t>
        </is>
      </c>
    </row>
    <row r="218">
      <c r="A218" s="84" t="inlineStr">
        <is>
          <t>MDF-3-RAW</t>
        </is>
      </c>
      <c r="B218" s="84" t="inlineStr">
        <is>
          <t>MDF 3 mm, raw, grade per PANEL_GRADE</t>
        </is>
      </c>
      <c r="C218" s="89">
        <f t="array" ref="C218">INDEX($C$178:$C$215,MATCH("LND-MDF-"&amp;$C$174&amp;"-3",$A$178:$A$215,0))</f>
        <v/>
      </c>
      <c r="E218" s="84" t="inlineStr">
        <is>
          <t>IDR/sheet</t>
        </is>
      </c>
      <c r="F218" s="84" t="inlineStr">
        <is>
          <t>Landed rows above</t>
        </is>
      </c>
      <c r="G218" s="82">
        <f t="array" ref="G218">INDEX($G$178:$G$215,MATCH("LND-MDF-"&amp;$C$174&amp;"-3",$A$178:$A$215,0))</f>
        <v/>
      </c>
      <c r="H218" s="83">
        <f>G218*$C$172</f>
        <v/>
      </c>
    </row>
    <row r="219">
      <c r="A219" s="84" t="inlineStr">
        <is>
          <t>MDF-6-RAW</t>
        </is>
      </c>
      <c r="B219" s="84" t="inlineStr">
        <is>
          <t>MDF 6 mm, raw, grade per PANEL_GRADE</t>
        </is>
      </c>
      <c r="C219" s="89">
        <f t="array" ref="C219">INDEX($C$178:$C$215,MATCH("LND-MDF-"&amp;$C$174&amp;"-6",$A$178:$A$215,0))</f>
        <v/>
      </c>
      <c r="E219" s="84" t="inlineStr">
        <is>
          <t>IDR/sheet</t>
        </is>
      </c>
      <c r="F219" s="84" t="inlineStr">
        <is>
          <t>Landed rows above</t>
        </is>
      </c>
      <c r="G219" s="82">
        <f t="array" ref="G219">INDEX($G$178:$G$215,MATCH("LND-MDF-"&amp;$C$174&amp;"-6",$A$178:$A$215,0))</f>
        <v/>
      </c>
      <c r="H219" s="83">
        <f>G219*$C$172</f>
        <v/>
      </c>
    </row>
    <row r="220">
      <c r="A220" s="84" t="inlineStr">
        <is>
          <t>MDF-9-RAW</t>
        </is>
      </c>
      <c r="B220" s="84" t="inlineStr">
        <is>
          <t>MDF 9 mm, raw, grade per PANEL_GRADE</t>
        </is>
      </c>
      <c r="C220" s="89">
        <f t="array" ref="C220">INDEX($C$178:$C$215,MATCH("LND-MDF-"&amp;$C$174&amp;"-9",$A$178:$A$215,0))</f>
        <v/>
      </c>
      <c r="E220" s="84" t="inlineStr">
        <is>
          <t>IDR/sheet</t>
        </is>
      </c>
      <c r="F220" s="84" t="inlineStr">
        <is>
          <t>Landed rows above</t>
        </is>
      </c>
      <c r="G220" s="82">
        <f t="array" ref="G220">INDEX($G$178:$G$215,MATCH("LND-MDF-"&amp;$C$174&amp;"-9",$A$178:$A$215,0))</f>
        <v/>
      </c>
      <c r="H220" s="83">
        <f>G220*$C$172</f>
        <v/>
      </c>
    </row>
    <row r="221">
      <c r="A221" s="84" t="inlineStr">
        <is>
          <t>MDF-12-RAW</t>
        </is>
      </c>
      <c r="B221" s="84" t="inlineStr">
        <is>
          <t>MDF 12 mm, raw, grade per PANEL_GRADE</t>
        </is>
      </c>
      <c r="C221" s="89">
        <f t="array" ref="C221">INDEX($C$178:$C$215,MATCH("LND-MDF-"&amp;$C$174&amp;"-12",$A$178:$A$215,0))</f>
        <v/>
      </c>
      <c r="E221" s="84" t="inlineStr">
        <is>
          <t>IDR/sheet</t>
        </is>
      </c>
      <c r="F221" s="84" t="inlineStr">
        <is>
          <t>Landed rows above</t>
        </is>
      </c>
      <c r="G221" s="82">
        <f t="array" ref="G221">INDEX($G$178:$G$215,MATCH("LND-MDF-"&amp;$C$174&amp;"-12",$A$178:$A$215,0))</f>
        <v/>
      </c>
      <c r="H221" s="83">
        <f>G221*$C$172</f>
        <v/>
      </c>
    </row>
    <row r="222">
      <c r="A222" s="84" t="inlineStr">
        <is>
          <t>MDF-15-RAW</t>
        </is>
      </c>
      <c r="B222" s="84" t="inlineStr">
        <is>
          <t>MDF 15 mm, raw, grade per PANEL_GRADE</t>
        </is>
      </c>
      <c r="C222" s="89">
        <f t="array" ref="C222">INDEX($C$178:$C$215,MATCH("LND-MDF-"&amp;$C$174&amp;"-15",$A$178:$A$215,0))</f>
        <v/>
      </c>
      <c r="E222" s="84" t="inlineStr">
        <is>
          <t>IDR/sheet</t>
        </is>
      </c>
      <c r="F222" s="84" t="inlineStr">
        <is>
          <t>Landed rows above</t>
        </is>
      </c>
      <c r="G222" s="82">
        <f t="array" ref="G222">INDEX($G$178:$G$215,MATCH("LND-MDF-"&amp;$C$174&amp;"-15",$A$178:$A$215,0))</f>
        <v/>
      </c>
      <c r="H222" s="83">
        <f>G222*$C$172</f>
        <v/>
      </c>
    </row>
    <row r="223">
      <c r="A223" s="84" t="inlineStr">
        <is>
          <t>MDF-18-RAW</t>
        </is>
      </c>
      <c r="B223" s="84" t="inlineStr">
        <is>
          <t>MDF 18 mm, raw, grade per PANEL_GRADE</t>
        </is>
      </c>
      <c r="C223" s="89">
        <f t="array" ref="C223">INDEX($C$178:$C$215,MATCH("LND-MDF-"&amp;$C$174&amp;"-18",$A$178:$A$215,0))</f>
        <v/>
      </c>
      <c r="E223" s="84" t="inlineStr">
        <is>
          <t>IDR/sheet</t>
        </is>
      </c>
      <c r="F223" s="84" t="inlineStr">
        <is>
          <t>Landed rows above</t>
        </is>
      </c>
      <c r="G223" s="82">
        <f t="array" ref="G223">INDEX($G$178:$G$215,MATCH("LND-MDF-"&amp;$C$174&amp;"-18",$A$178:$A$215,0))</f>
        <v/>
      </c>
      <c r="H223" s="83">
        <f>G223*$C$172</f>
        <v/>
      </c>
    </row>
    <row r="224">
      <c r="A224" s="84" t="inlineStr">
        <is>
          <t>PLY-15-MAR</t>
        </is>
      </c>
      <c r="B224" s="84" t="inlineStr">
        <is>
          <t>Marine plywood 15 mm, raw</t>
        </is>
      </c>
      <c r="C224" s="89">
        <f t="array" ref="C224">INDEX($C$178:$C$215,MATCH("LND-MAR-15",$A$178:$A$215,0))</f>
        <v/>
      </c>
      <c r="E224" s="84" t="inlineStr">
        <is>
          <t>IDR/sheet</t>
        </is>
      </c>
      <c r="F224" s="84" t="inlineStr">
        <is>
          <t>Landed rows above</t>
        </is>
      </c>
      <c r="G224" s="82">
        <f t="array" ref="G224">INDEX($G$178:$G$215,MATCH("LND-MAR-15",$A$178:$A$215,0))</f>
        <v/>
      </c>
      <c r="H224" s="83">
        <f>G224*$C$172</f>
        <v/>
      </c>
    </row>
    <row r="225">
      <c r="A225" s="84" t="inlineStr">
        <is>
          <t>PLY-18-MAR</t>
        </is>
      </c>
      <c r="B225" s="84" t="inlineStr">
        <is>
          <t>Marine plywood 18 mm, raw</t>
        </is>
      </c>
      <c r="C225" s="89">
        <f t="array" ref="C225">INDEX($C$178:$C$215,MATCH("LND-MAR-18",$A$178:$A$215,0))</f>
        <v/>
      </c>
      <c r="E225" s="84" t="inlineStr">
        <is>
          <t>IDR/sheet</t>
        </is>
      </c>
      <c r="F225" s="84" t="inlineStr">
        <is>
          <t>Landed rows above</t>
        </is>
      </c>
      <c r="G225" s="82">
        <f t="array" ref="G225">INDEX($G$178:$G$215,MATCH("LND-MAR-18",$A$178:$A$215,0))</f>
        <v/>
      </c>
      <c r="H225" s="83">
        <f>G225*$C$172</f>
        <v/>
      </c>
    </row>
    <row r="227">
      <c r="A227" s="84" t="inlineStr">
        <is>
          <t>HARDWARE (bought-in). Value = USD price × FX_USD.</t>
        </is>
      </c>
      <c r="G227" s="86" t="inlineStr">
        <is>
          <t>Quote USD</t>
        </is>
      </c>
      <c r="H227" s="87" t="inlineStr">
        <is>
          <t>Quote IDR (USD × FX_USD)</t>
        </is>
      </c>
    </row>
    <row r="228">
      <c r="A228" s="84" t="inlineStr">
        <is>
          <t>HW-RAIL-DTC</t>
        </is>
      </c>
      <c r="B228" s="84" t="inlineStr">
        <is>
          <t>Drawer rail DTC, side-mount, soft-close, ball-bearing</t>
        </is>
      </c>
      <c r="C228" s="89">
        <f>H228</f>
        <v/>
      </c>
      <c r="E228" s="84" t="inlineStr">
        <is>
          <t>IDR/pair</t>
        </is>
      </c>
      <c r="F228" s="84" t="inlineStr">
        <is>
          <t>Approved by David 7 Oct 2026 (project doc HARDWARE PRICE 16 OCT). Same price for all lengths.</t>
        </is>
      </c>
      <c r="G228" s="82" t="n">
        <v>2.75</v>
      </c>
      <c r="H228" s="83">
        <f>G228*$C$172</f>
        <v/>
      </c>
    </row>
    <row r="229">
      <c r="A229" s="84" t="inlineStr">
        <is>
          <t>HW-HINGE-DTC</t>
        </is>
      </c>
      <c r="B229" s="84" t="inlineStr">
        <is>
          <t>Soft-close hinge DTC</t>
        </is>
      </c>
      <c r="C229" s="89">
        <f>H229</f>
        <v/>
      </c>
      <c r="E229" s="84" t="inlineStr">
        <is>
          <t>IDR/pc</t>
        </is>
      </c>
      <c r="F229" s="84" t="inlineStr">
        <is>
          <t>Approved by David 7 Oct 2026 (project doc HARDWARE PRICE 16 OCT)</t>
        </is>
      </c>
      <c r="G229" s="82" t="n">
        <v>0.6</v>
      </c>
      <c r="H229" s="83">
        <f>G229*$C$172</f>
        <v/>
      </c>
    </row>
    <row r="231">
      <c r="A231" t="inlineStr">
        <is>
          <t>VENEERED LANDED BOARDS (E2 + Mindi Veneer)</t>
        </is>
      </c>
    </row>
    <row r="232">
      <c r="A232" t="inlineStr">
        <is>
          <t>LND-PLY-E2-18-MSF</t>
        </is>
      </c>
      <c r="B232" t="inlineStr">
        <is>
          <t>Plywood E2 18 mm, Mindi single face</t>
        </is>
      </c>
      <c r="C232">
        <f>INDEX($C$178:$C$215,MATCH("LND-PLY-E2-18",$A$178:$A$215,0))+$C$175</f>
        <v/>
      </c>
      <c r="E232" t="inlineStr">
        <is>
          <t>IDR/sheet</t>
        </is>
      </c>
    </row>
    <row r="233">
      <c r="A233" t="inlineStr">
        <is>
          <t>LND-PLY-E2-18-MDF</t>
        </is>
      </c>
      <c r="B233" t="inlineStr">
        <is>
          <t>Plywood E2 18 mm, Mindi double face</t>
        </is>
      </c>
      <c r="C233">
        <f>INDEX($C$178:$C$215,MATCH("LND-PLY-E2-18",$A$178:$A$215,0))+2*$C$175</f>
        <v/>
      </c>
      <c r="E233" t="inlineStr">
        <is>
          <t>IDR/sheet</t>
        </is>
      </c>
    </row>
    <row r="234">
      <c r="A234" t="inlineStr">
        <is>
          <t>LND-PLY-E2-15-MSF</t>
        </is>
      </c>
      <c r="B234" t="inlineStr">
        <is>
          <t>Plywood E2 15 mm, Mindi single face</t>
        </is>
      </c>
      <c r="C234">
        <f>INDEX($C$178:$C$215,MATCH("LND-PLY-E2-15",$A$178:$A$215,0))+$C$175</f>
        <v/>
      </c>
      <c r="E234" t="inlineStr">
        <is>
          <t>IDR/sheet</t>
        </is>
      </c>
    </row>
    <row r="235">
      <c r="A235" t="inlineStr">
        <is>
          <t>LND-PLY-E2-15-MDF</t>
        </is>
      </c>
      <c r="B235" t="inlineStr">
        <is>
          <t>Plywood E2 15 mm, Mindi double face</t>
        </is>
      </c>
      <c r="C235">
        <f>INDEX($C$178:$C$215,MATCH("LND-PLY-E2-15",$A$178:$A$215,0))+2*$C$175</f>
        <v/>
      </c>
      <c r="E235" t="inlineStr">
        <is>
          <t>IDR/sheet</t>
        </is>
      </c>
    </row>
    <row r="236">
      <c r="A236" t="inlineStr">
        <is>
          <t>LND-PLY-E2-12-MSF</t>
        </is>
      </c>
      <c r="B236" t="inlineStr">
        <is>
          <t>Plywood E2 12 mm, Mindi single face</t>
        </is>
      </c>
      <c r="C236">
        <f>INDEX($C$178:$C$215,MATCH("LND-PLY-E2-12",$A$178:$A$215,0))+$C$175</f>
        <v/>
      </c>
      <c r="E236" t="inlineStr">
        <is>
          <t>IDR/sheet</t>
        </is>
      </c>
    </row>
    <row r="237">
      <c r="A237" t="inlineStr">
        <is>
          <t>LND-PLY-E2-12-MDF</t>
        </is>
      </c>
      <c r="B237" t="inlineStr">
        <is>
          <t>Plywood E2 12 mm, Mindi double face</t>
        </is>
      </c>
      <c r="C237">
        <f>INDEX($C$178:$C$215,MATCH("LND-PLY-E2-12",$A$178:$A$215,0))+2*$C$175</f>
        <v/>
      </c>
      <c r="E237" t="inlineStr">
        <is>
          <t>IDR/sheet</t>
        </is>
      </c>
    </row>
    <row r="238">
      <c r="A238" t="inlineStr">
        <is>
          <t>LND-PLY-E2-9-MSF</t>
        </is>
      </c>
      <c r="B238" t="inlineStr">
        <is>
          <t>Plywood E2 9 mm, Mindi single face</t>
        </is>
      </c>
      <c r="C238">
        <f>INDEX($C$178:$C$215,MATCH("LND-PLY-E2-9",$A$178:$A$215,0))+$C$175</f>
        <v/>
      </c>
      <c r="E238" t="inlineStr">
        <is>
          <t>IDR/sheet</t>
        </is>
      </c>
    </row>
    <row r="239">
      <c r="A239" t="inlineStr">
        <is>
          <t>LND-PLY-E2-9-MDF</t>
        </is>
      </c>
      <c r="B239" t="inlineStr">
        <is>
          <t>Plywood E2 9 mm, Mindi double face</t>
        </is>
      </c>
      <c r="C239">
        <f>INDEX($C$178:$C$215,MATCH("LND-PLY-E2-9",$A$178:$A$215,0))+2*$C$175</f>
        <v/>
      </c>
      <c r="E239" t="inlineStr">
        <is>
          <t>IDR/sheet</t>
        </is>
      </c>
    </row>
    <row r="240">
      <c r="A240" t="inlineStr">
        <is>
          <t>LND-PLY-E2-6-MSF</t>
        </is>
      </c>
      <c r="B240" t="inlineStr">
        <is>
          <t>Plywood E2 6 mm, Mindi single face</t>
        </is>
      </c>
      <c r="C240">
        <f>INDEX($C$178:$C$215,MATCH("LND-PLY-E2-6",$A$178:$A$215,0))+$C$175</f>
        <v/>
      </c>
      <c r="E240" t="inlineStr">
        <is>
          <t>IDR/sheet</t>
        </is>
      </c>
    </row>
    <row r="241">
      <c r="A241" t="inlineStr">
        <is>
          <t>LND-PLY-E2-6-MDF</t>
        </is>
      </c>
      <c r="B241" t="inlineStr">
        <is>
          <t>Plywood E2 6 mm, Mindi double face</t>
        </is>
      </c>
      <c r="C241">
        <f>INDEX($C$178:$C$215,MATCH("LND-PLY-E2-6",$A$178:$A$215,0))+2*$C$175</f>
        <v/>
      </c>
      <c r="E241" t="inlineStr">
        <is>
          <t>IDR/sheet</t>
        </is>
      </c>
    </row>
    <row r="242">
      <c r="A242" t="inlineStr">
        <is>
          <t>LND-PLY-E2-3-MSF</t>
        </is>
      </c>
      <c r="B242" t="inlineStr">
        <is>
          <t>Plywood E2 3 mm, Mindi single face</t>
        </is>
      </c>
      <c r="C242">
        <f>INDEX($C$178:$C$215,MATCH("LND-PLY-E2-3",$A$178:$A$215,0))+$C$175</f>
        <v/>
      </c>
      <c r="E242" t="inlineStr">
        <is>
          <t>IDR/sheet</t>
        </is>
      </c>
    </row>
    <row r="243">
      <c r="A243" t="inlineStr">
        <is>
          <t>LND-PLY-E2-3-MDF</t>
        </is>
      </c>
      <c r="B243" t="inlineStr">
        <is>
          <t>Plywood E2 3 mm, Mindi double face</t>
        </is>
      </c>
      <c r="C243">
        <f>INDEX($C$178:$C$215,MATCH("LND-PLY-E2-3",$A$178:$A$215,0))+2*$C$175</f>
        <v/>
      </c>
      <c r="E243" t="inlineStr">
        <is>
          <t>IDR/sheet</t>
        </is>
      </c>
    </row>
    <row r="244">
      <c r="A244" t="inlineStr">
        <is>
          <t>LND-MDF-E2-18-MSF</t>
        </is>
      </c>
      <c r="B244" t="inlineStr">
        <is>
          <t>MDF E2 18 mm, Mindi single face</t>
        </is>
      </c>
      <c r="C244">
        <f>INDEX($C$178:$C$215,MATCH("LND-MDF-E2-18",$A$178:$A$215,0))+$C$175</f>
        <v/>
      </c>
      <c r="E244" t="inlineStr">
        <is>
          <t>IDR/sheet</t>
        </is>
      </c>
    </row>
    <row r="245">
      <c r="A245" t="inlineStr">
        <is>
          <t>LND-MDF-E2-18-MDF</t>
        </is>
      </c>
      <c r="B245" t="inlineStr">
        <is>
          <t>MDF E2 18 mm, Mindi double face</t>
        </is>
      </c>
      <c r="C245">
        <f>INDEX($C$178:$C$215,MATCH("LND-MDF-E2-18",$A$178:$A$215,0))+2*$C$175</f>
        <v/>
      </c>
      <c r="E245" t="inlineStr">
        <is>
          <t>IDR/sheet</t>
        </is>
      </c>
    </row>
    <row r="246">
      <c r="A246" t="inlineStr">
        <is>
          <t>LND-MDF-E2-15-MSF</t>
        </is>
      </c>
      <c r="B246" t="inlineStr">
        <is>
          <t>MDF E2 15 mm, Mindi single face</t>
        </is>
      </c>
      <c r="C246">
        <f>INDEX($C$178:$C$215,MATCH("LND-MDF-E2-15",$A$178:$A$215,0))+$C$175</f>
        <v/>
      </c>
      <c r="E246" t="inlineStr">
        <is>
          <t>IDR/sheet</t>
        </is>
      </c>
    </row>
    <row r="247">
      <c r="A247" t="inlineStr">
        <is>
          <t>LND-MDF-E2-12-MSF</t>
        </is>
      </c>
      <c r="B247" t="inlineStr">
        <is>
          <t>MDF E2 12 mm, Mindi single face</t>
        </is>
      </c>
      <c r="C247">
        <f>INDEX($C$178:$C$215,MATCH("LND-MDF-E2-12",$A$178:$A$215,0))+$C$175</f>
        <v/>
      </c>
      <c r="E247" t="inlineStr">
        <is>
          <t>IDR/sheet</t>
        </is>
      </c>
    </row>
    <row r="248">
      <c r="A248" t="inlineStr">
        <is>
          <t>LND-MDF-E2-9-MSF</t>
        </is>
      </c>
      <c r="B248" t="inlineStr">
        <is>
          <t>MDF E2 9 mm, Mindi single face</t>
        </is>
      </c>
      <c r="C248">
        <f>INDEX($C$178:$C$215,MATCH("LND-MDF-E2-9",$A$178:$A$215,0))+$C$175</f>
        <v/>
      </c>
      <c r="E248" t="inlineStr">
        <is>
          <t>IDR/sheet</t>
        </is>
      </c>
    </row>
    <row r="249">
      <c r="A249" t="inlineStr">
        <is>
          <t>LND-MDF-E2-6-MSF</t>
        </is>
      </c>
      <c r="B249" t="inlineStr">
        <is>
          <t>MDF E2 6 mm, Mindi single face</t>
        </is>
      </c>
      <c r="C249">
        <f>INDEX($C$178:$C$215,MATCH("LND-MDF-E2-6",$A$178:$A$215,0))+$C$175</f>
        <v/>
      </c>
      <c r="E249" t="inlineStr">
        <is>
          <t>IDR/sheet</t>
        </is>
      </c>
    </row>
    <row r="251">
      <c r="A251" s="91" t="inlineStr">
        <is>
          <t>METAL (added 19 Oct 2026). Value EMPTY: price not yet received. Fill column C; METAL parts cost 0 until filled.</t>
        </is>
      </c>
    </row>
    <row r="252">
      <c r="A252" s="84" t="inlineStr">
        <is>
          <t>METAL_A</t>
        </is>
      </c>
      <c r="B252" s="84" t="inlineStr">
        <is>
          <t>Metal tier A (exposed, long), per m³ of component</t>
        </is>
      </c>
      <c r="C252" s="89" t="n"/>
      <c r="E252" s="84" t="inlineStr">
        <is>
          <t>IDR/m³</t>
        </is>
      </c>
      <c r="F252" s="84" t="inlineStr">
        <is>
          <t>EMPTY: waiting for price</t>
        </is>
      </c>
    </row>
    <row r="253">
      <c r="A253" s="84" t="inlineStr">
        <is>
          <t>METAL_B</t>
        </is>
      </c>
      <c r="B253" s="84" t="inlineStr">
        <is>
          <t>Metal tier B</t>
        </is>
      </c>
      <c r="C253" s="89" t="n"/>
      <c r="E253" s="84" t="inlineStr">
        <is>
          <t>IDR/m³</t>
        </is>
      </c>
      <c r="F253" s="84" t="inlineStr">
        <is>
          <t>EMPTY: waiting for price</t>
        </is>
      </c>
    </row>
    <row r="254">
      <c r="A254" s="84" t="inlineStr">
        <is>
          <t>METAL_C</t>
        </is>
      </c>
      <c r="B254" s="84" t="inlineStr">
        <is>
          <t>Metal tier C</t>
        </is>
      </c>
      <c r="C254" s="89" t="n"/>
      <c r="E254" s="84" t="inlineStr">
        <is>
          <t>IDR/m³</t>
        </is>
      </c>
      <c r="F254" s="84" t="inlineStr">
        <is>
          <t>EMPTY: waiting for price</t>
        </is>
      </c>
    </row>
    <row r="255">
      <c r="A255" s="84" t="inlineStr">
        <is>
          <t>METAL_D</t>
        </is>
      </c>
      <c r="B255" s="84" t="inlineStr">
        <is>
          <t>Metal tier D</t>
        </is>
      </c>
      <c r="C255" s="89" t="n"/>
      <c r="E255" s="84" t="inlineStr">
        <is>
          <t>IDR/m³</t>
        </is>
      </c>
      <c r="F255" s="84" t="inlineStr">
        <is>
          <t>EMPTY: waiting for price</t>
        </is>
      </c>
    </row>
    <row r="256">
      <c r="A256" s="84" t="inlineStr">
        <is>
          <t>metal_brass</t>
        </is>
      </c>
      <c r="B256" s="84" t="inlineStr">
        <is>
          <t>Brass, per kg (reference)</t>
        </is>
      </c>
      <c r="C256" s="89" t="n"/>
      <c r="E256" s="84" t="inlineStr">
        <is>
          <t>IDR/kg</t>
        </is>
      </c>
      <c r="F256" s="84" t="inlineStr">
        <is>
          <t>EMPTY: waiting for price</t>
        </is>
      </c>
    </row>
    <row r="257">
      <c r="A257" s="84" t="inlineStr">
        <is>
          <t>metal_steel</t>
        </is>
      </c>
      <c r="B257" s="84" t="inlineStr">
        <is>
          <t>Steel / hollow section, per kg (reference)</t>
        </is>
      </c>
      <c r="C257" s="89" t="n"/>
      <c r="E257" s="84" t="inlineStr">
        <is>
          <t>IDR/kg</t>
        </is>
      </c>
      <c r="F257" s="84" t="inlineStr">
        <is>
          <t>EMPTY: waiting for price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PLY-3-RAW</t>
        </is>
      </c>
      <c r="C3" s="2" t="inlineStr">
        <is>
          <t>NC NATURAL</t>
        </is>
      </c>
      <c r="D3" s="2" t="inlineStr">
        <is>
          <t>Y</t>
        </is>
      </c>
      <c r="E3" s="2" t="inlineStr">
        <is>
          <t>TIER_A_MIN_LEN mm</t>
        </is>
      </c>
      <c r="F3" s="46" t="n">
        <v>1000</v>
      </c>
    </row>
    <row r="4">
      <c r="A4" s="2" t="inlineStr">
        <is>
          <t>MINDI</t>
        </is>
      </c>
      <c r="B4" s="2" t="inlineStr">
        <is>
          <t>PLY-3-MSF</t>
        </is>
      </c>
      <c r="C4" s="2" t="inlineStr">
        <is>
          <t>PU DUCO</t>
        </is>
      </c>
      <c r="D4" s="2" t="inlineStr">
        <is>
          <t>N</t>
        </is>
      </c>
      <c r="E4" s="2" t="inlineStr">
        <is>
          <t>TIER_D_MAX_VOL m3</t>
        </is>
      </c>
      <c r="F4" s="46" t="n">
        <v>0.0005</v>
      </c>
    </row>
    <row r="5">
      <c r="A5" s="2" t="inlineStr">
        <is>
          <t>MERANTI</t>
        </is>
      </c>
      <c r="B5" s="2" t="inlineStr">
        <is>
          <t>PLY-3-MDF</t>
        </is>
      </c>
      <c r="C5" s="2" t="inlineStr">
        <is>
          <t>NC + GLAZE</t>
        </is>
      </c>
      <c r="E5" s="2" t="inlineStr">
        <is>
          <t>TIER_D_MAX_LEN mm</t>
        </is>
      </c>
      <c r="F5" s="46" t="n">
        <v>300</v>
      </c>
    </row>
    <row r="6">
      <c r="A6" s="2" t="inlineStr">
        <is>
          <t>OTHER</t>
        </is>
      </c>
      <c r="B6" s="2" t="inlineStr">
        <is>
          <t>PLY-3-TSF</t>
        </is>
      </c>
      <c r="C6" s="2" t="inlineStr">
        <is>
          <t>NONE (RAW)</t>
        </is>
      </c>
      <c r="E6" s="2" t="inlineStr">
        <is>
          <t>SHEET_L mm</t>
        </is>
      </c>
      <c r="F6" s="46" t="n">
        <v>2440</v>
      </c>
    </row>
    <row r="7">
      <c r="B7" s="2" t="inlineStr">
        <is>
          <t>PLY-3-TDF</t>
        </is>
      </c>
      <c r="C7" s="2" t="inlineStr">
        <is>
          <t>OTHER</t>
        </is>
      </c>
      <c r="E7" s="2" t="inlineStr">
        <is>
          <t>SHEET_W mm</t>
        </is>
      </c>
      <c r="F7" s="46" t="n">
        <v>1220</v>
      </c>
    </row>
    <row r="8">
      <c r="B8" s="2" t="inlineStr">
        <is>
          <t>PLY-6-RAW</t>
        </is>
      </c>
      <c r="E8" s="2" t="inlineStr">
        <is>
          <t>SHEET_KERF mm</t>
        </is>
      </c>
      <c r="F8" s="46" t="n">
        <v>5</v>
      </c>
    </row>
    <row r="9">
      <c r="B9" s="2" t="inlineStr">
        <is>
          <t>PLY-6-MSF</t>
        </is>
      </c>
      <c r="E9" s="2" t="inlineStr">
        <is>
          <t>CARTON_ADD mm</t>
        </is>
      </c>
      <c r="F9" s="46" t="n">
        <v>40</v>
      </c>
    </row>
    <row r="10">
      <c r="B10" s="2" t="inlineStr">
        <is>
          <t>PLY-6-MDF</t>
        </is>
      </c>
      <c r="E10" s="2" t="inlineStr">
        <is>
          <t>NARROW_MAX_SECTION mm</t>
        </is>
      </c>
      <c r="F10" s="46" t="n">
        <v>40</v>
      </c>
    </row>
    <row r="11">
      <c r="B11" s="2" t="inlineStr">
        <is>
          <t>PLY-6-TSF</t>
        </is>
      </c>
      <c r="E11" s="2" t="inlineStr">
        <is>
          <t>NARROW_MAX_LEN mm</t>
        </is>
      </c>
      <c r="F11" s="46" t="n">
        <v>1500</v>
      </c>
    </row>
    <row r="12">
      <c r="B12" s="2" t="inlineStr">
        <is>
          <t>PLY-6-TDF</t>
        </is>
      </c>
    </row>
    <row r="13">
      <c r="B13" s="2" t="inlineStr">
        <is>
          <t>PLY-9-RAW</t>
        </is>
      </c>
    </row>
    <row r="14">
      <c r="B14" s="2" t="inlineStr">
        <is>
          <t>PLY-9-MSF</t>
        </is>
      </c>
    </row>
    <row r="15">
      <c r="B15" s="2" t="inlineStr">
        <is>
          <t>PLY-9-MDF</t>
        </is>
      </c>
    </row>
    <row r="16">
      <c r="B16" s="2" t="inlineStr">
        <is>
          <t>PLY-9-TSF</t>
        </is>
      </c>
    </row>
    <row r="17">
      <c r="B17" s="2" t="inlineStr">
        <is>
          <t>PLY-9-TDF</t>
        </is>
      </c>
    </row>
    <row r="18">
      <c r="B18" s="2" t="inlineStr">
        <is>
          <t>PLY-12-RAW</t>
        </is>
      </c>
    </row>
    <row r="19">
      <c r="B19" s="2" t="inlineStr">
        <is>
          <t>PLY-12-MSF</t>
        </is>
      </c>
    </row>
    <row r="20">
      <c r="B20" s="2" t="inlineStr">
        <is>
          <t>PLY-12-MDF</t>
        </is>
      </c>
    </row>
    <row r="21" ht="15.75" customHeight="1" s="59">
      <c r="B21" s="2" t="inlineStr">
        <is>
          <t>PLY-12-TSF</t>
        </is>
      </c>
    </row>
    <row r="22" ht="15.75" customHeight="1" s="59">
      <c r="B22" s="2" t="inlineStr">
        <is>
          <t>PLY-12-TDF</t>
        </is>
      </c>
    </row>
    <row r="23" ht="15.75" customHeight="1" s="59">
      <c r="B23" s="2" t="inlineStr">
        <is>
          <t>PLY-15-RAW</t>
        </is>
      </c>
    </row>
    <row r="24" ht="15.75" customHeight="1" s="59">
      <c r="B24" s="2" t="inlineStr">
        <is>
          <t>PLY-15-MSF</t>
        </is>
      </c>
    </row>
    <row r="25" ht="15.75" customHeight="1" s="59">
      <c r="B25" s="2" t="inlineStr">
        <is>
          <t>PLY-15-MDF</t>
        </is>
      </c>
    </row>
    <row r="26" ht="15.75" customHeight="1" s="59">
      <c r="B26" s="2" t="inlineStr">
        <is>
          <t>PLY-15-TSF</t>
        </is>
      </c>
    </row>
    <row r="27" ht="15.75" customHeight="1" s="59">
      <c r="B27" s="2" t="inlineStr">
        <is>
          <t>PLY-15-TDF</t>
        </is>
      </c>
    </row>
    <row r="28" ht="15.75" customHeight="1" s="59">
      <c r="B28" s="2" t="inlineStr">
        <is>
          <t>PLY-18-RAW</t>
        </is>
      </c>
    </row>
    <row r="29" ht="15.75" customHeight="1" s="59">
      <c r="B29" s="2" t="inlineStr">
        <is>
          <t>PLY-18-MSF</t>
        </is>
      </c>
    </row>
    <row r="30" ht="15.75" customHeight="1" s="59">
      <c r="B30" s="2" t="inlineStr">
        <is>
          <t>PLY-18-MDF</t>
        </is>
      </c>
    </row>
    <row r="31" ht="15.75" customHeight="1" s="59">
      <c r="B31" s="2" t="inlineStr">
        <is>
          <t>PLY-18-TSF</t>
        </is>
      </c>
    </row>
    <row r="32" ht="15.75" customHeight="1" s="59">
      <c r="B32" s="2" t="inlineStr">
        <is>
          <t>PLY-18-TDF</t>
        </is>
      </c>
    </row>
    <row r="33" ht="15.75" customHeight="1" s="59">
      <c r="B33" s="2" t="inlineStr">
        <is>
          <t>PLY-24-RAW</t>
        </is>
      </c>
    </row>
    <row r="34" ht="15.75" customHeight="1" s="59">
      <c r="B34" s="2" t="inlineStr">
        <is>
          <t>PLY-24-MSF</t>
        </is>
      </c>
    </row>
    <row r="35" ht="15.75" customHeight="1" s="59">
      <c r="B35" s="2" t="inlineStr">
        <is>
          <t>PLY-24-MDF</t>
        </is>
      </c>
    </row>
    <row r="36" ht="15.75" customHeight="1" s="59">
      <c r="B36" s="2" t="inlineStr">
        <is>
          <t>PLY-24-TSF</t>
        </is>
      </c>
    </row>
    <row r="37" ht="15.75" customHeight="1" s="59">
      <c r="B37" s="2" t="inlineStr">
        <is>
          <t>PLY-24-TDF</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2026-10-19T01:48:34Z</dcterms:modified>
  <cp:lastModifiedBy>Rizky</cp:lastModifiedBy>
</cp:coreProperties>
</file>